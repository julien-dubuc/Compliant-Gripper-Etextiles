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 V3" sheetId="1" r:id="rId5"/>
  </sheets>
  <definedNames/>
  <calcPr/>
</workbook>
</file>

<file path=xl/sharedStrings.xml><?xml version="1.0" encoding="utf-8"?>
<sst xmlns="http://schemas.openxmlformats.org/spreadsheetml/2006/main" count="188" uniqueCount="121">
  <si>
    <t>Protocol Assessment: Compliant vs Rack&amp;Pinion</t>
  </si>
  <si>
    <t>TEST 1: KINEMATIC CHARACTERIZATION &amp; EFFECTIVE COMPLIANCE</t>
  </si>
  <si>
    <t>Metric</t>
  </si>
  <si>
    <t>Compliant Gripper</t>
  </si>
  <si>
    <t>Rack&amp;Pinion Gripper</t>
  </si>
  <si>
    <t>Measurement Method</t>
  </si>
  <si>
    <t>Maximum opening (mm)</t>
  </si>
  <si>
    <t>73.60+-1.39</t>
  </si>
  <si>
    <t>144.12+-1.49</t>
  </si>
  <si>
    <t>OptiTrack</t>
  </si>
  <si>
    <t>Minimum closing (mm)</t>
  </si>
  <si>
    <t>0 (mix point)</t>
  </si>
  <si>
    <t>Opening time no-load (s)</t>
  </si>
  <si>
    <t>Stopwatch</t>
  </si>
  <si>
    <t>1. CLOSING Phase - R&amp;P</t>
  </si>
  <si>
    <t>1. CLOSING Phase - Compliant</t>
  </si>
  <si>
    <t>Command (%)</t>
  </si>
  <si>
    <t>Trial 1</t>
  </si>
  <si>
    <t>Trial 2</t>
  </si>
  <si>
    <t>Trial 3</t>
  </si>
  <si>
    <t>Average (mm)</t>
  </si>
  <si>
    <t>2. OPENING Phase - R&amp;P</t>
  </si>
  <si>
    <t>2. OPENING Phase - Compliant</t>
  </si>
  <si>
    <t>Applied Force (N)</t>
  </si>
  <si>
    <t>Deflection R&amp;P T1 (mm) [OptiTrack]</t>
  </si>
  <si>
    <t>Deflection R&amp;P T2 (mm) [OptiTrack]</t>
  </si>
  <si>
    <t>Deflection R&amp;P T3 (mm) [OptiTrack]</t>
  </si>
  <si>
    <t>Average Deflection R&amp;P (mm)</t>
  </si>
  <si>
    <t>Calculated Stiffness krp (N/mm)</t>
  </si>
  <si>
    <t>Deflection Compliant T1 (mm) [OptiTrack]</t>
  </si>
  <si>
    <t>Deflection Compliant T2 (mm) [OptiTrack]</t>
  </si>
  <si>
    <t>Deflection Compliant T3 (mm) [OptiTrack]</t>
  </si>
  <si>
    <t>Average Deflection Compliant (mm)</t>
  </si>
  <si>
    <t>Calculated Stiffness kc (N/mm)</t>
  </si>
  <si>
    <t>-</t>
  </si>
  <si>
    <t>MAX</t>
  </si>
  <si>
    <t>2,53 (7,16N)</t>
  </si>
  <si>
    <t>1,37 (6,67N)</t>
  </si>
  <si>
    <t>1,73 (6,95N)</t>
  </si>
  <si>
    <t>1,88 (6,93N)</t>
  </si>
  <si>
    <t>6,59 (14,65N)</t>
  </si>
  <si>
    <t>7,87 (19,26N)</t>
  </si>
  <si>
    <t>7,15 (18,90N)</t>
  </si>
  <si>
    <t>7,20 (17,60N)</t>
  </si>
  <si>
    <t>MAXIMUM HORIZONTAL FORCE</t>
  </si>
  <si>
    <t>Trial</t>
  </si>
  <si>
    <t>Max Pinch Force (N) - R&amp;P</t>
  </si>
  <si>
    <t>Max Pinch Force (N) - Compliant</t>
  </si>
  <si>
    <t>Ratio Compliant / R&amp;P</t>
  </si>
  <si>
    <t>2,05x</t>
  </si>
  <si>
    <t>2,89x</t>
  </si>
  <si>
    <t>2,72x</t>
  </si>
  <si>
    <t>Average</t>
  </si>
  <si>
    <t>2,54x</t>
  </si>
  <si>
    <t>TEST 2: ACTUATION EFFICIENCY &amp; DYNAMIC GRASPING</t>
  </si>
  <si>
    <t>R&amp;P</t>
  </si>
  <si>
    <t>Max Hold Force (N)</t>
  </si>
  <si>
    <t>Peak Current (A)</t>
  </si>
  <si>
    <t>Holding Current (A)</t>
  </si>
  <si>
    <t>Holding Power (W)</t>
  </si>
  <si>
    <t>Efficiency (N/W)</t>
  </si>
  <si>
    <t>Compliant</t>
  </si>
  <si>
    <t>R&amp;P (3,50N)  Compliant (9,12N)</t>
  </si>
  <si>
    <t>R&amp;P (0.372A)  Compliant (0.365A)</t>
  </si>
  <si>
    <t>R&amp;P (0.368A)  Compliant (0.362A)</t>
  </si>
  <si>
    <t>R&amp;P (1,838W)  Compliant (1,810W)</t>
  </si>
  <si>
    <t>R&amp;P (1,90N/W)  Compliant (5,04N/W)</t>
  </si>
  <si>
    <t>TEST 3: ZERO-ENERGY HOLD (PASSIVE LOCKING)</t>
  </si>
  <si>
    <t>Notes</t>
  </si>
  <si>
    <t>Max pull-out force (N)</t>
  </si>
  <si>
    <t>C: 3/4/6/4/5N R: 3/4/4/3/3/3</t>
  </si>
  <si>
    <t>C:1/2/3/3/3N R:3/2/3/3/1</t>
  </si>
  <si>
    <t>big cylinder/cube 30x30cm</t>
  </si>
  <si>
    <t>Peak current at unlocking (mA)</t>
  </si>
  <si>
    <t>176/184/165/172/201mA</t>
  </si>
  <si>
    <t>235/133/200/168/198mA (lot of friction)</t>
  </si>
  <si>
    <t>Failure Mode</t>
  </si>
  <si>
    <t>Slip but also finger deformation (back-driving)</t>
  </si>
  <si>
    <t xml:space="preserve">Slip </t>
  </si>
  <si>
    <t>no adhrence without pads</t>
  </si>
  <si>
    <t>TEST 4: TASK-LEVEL GRASPING BENCHMARK</t>
  </si>
  <si>
    <t>Object Type</t>
  </si>
  <si>
    <t>Success (%) Compliant</t>
  </si>
  <si>
    <t>Success (%) R&amp;P</t>
  </si>
  <si>
    <t>Damage Compliant (Y/N)</t>
  </si>
  <si>
    <t>Damage R&amp;P (Y/N)</t>
  </si>
  <si>
    <t>Heavy and rigid (Can)</t>
  </si>
  <si>
    <t>Fragile (Plastic cup)</t>
  </si>
  <si>
    <t>Fragile (Egg)</t>
  </si>
  <si>
    <t>Deformable (Foam ball)</t>
  </si>
  <si>
    <t>Standard cube</t>
  </si>
  <si>
    <t>TEST 5: DURABILITY (FATIGUE) &amp; DFMA EVALUATION</t>
  </si>
  <si>
    <t>MAX VERTICALLY FORCE</t>
  </si>
  <si>
    <t>Cycle No,</t>
  </si>
  <si>
    <t>Max Force (N) Compliant</t>
  </si>
  <si>
    <t>Max Force (N) R&amp;P</t>
  </si>
  <si>
    <t>Number of 3D printed parts</t>
  </si>
  <si>
    <t>Total printing time (min)</t>
  </si>
  <si>
    <t>2h12</t>
  </si>
  <si>
    <t>3h15m48s</t>
  </si>
  <si>
    <t>Normal mode with : 15% Infill + Brim 5mm &amp; Supports : for support enforcers only</t>
  </si>
  <si>
    <t>Mass of material used (g)</t>
  </si>
  <si>
    <t>Printing cost (€)</t>
  </si>
  <si>
    <t>(27,99/kg)</t>
  </si>
  <si>
    <t>Non-printed hardware (BOM)</t>
  </si>
  <si>
    <t>4x(M4x16 &amp; M4 Nuts)</t>
  </si>
  <si>
    <t>2x(M6x40 Screw &amp; M6 Nuts) + 4x(M4x16 &amp; M4 Nuts)</t>
  </si>
  <si>
    <t>&amp; 4 Screw for servo</t>
  </si>
  <si>
    <t>Assembly time (min)</t>
  </si>
  <si>
    <t>2m47</t>
  </si>
  <si>
    <t>5m31</t>
  </si>
  <si>
    <t>Weight (g)</t>
  </si>
  <si>
    <t>TEST A: COMPLIANT OPTIMIZATION</t>
  </si>
  <si>
    <t>Gripper ID</t>
  </si>
  <si>
    <t>Max Force (N)</t>
  </si>
  <si>
    <t>Peak Voltage (V)</t>
  </si>
  <si>
    <t>Power (W)</t>
  </si>
  <si>
    <t>Gripper 1</t>
  </si>
  <si>
    <t>Gripper 2</t>
  </si>
  <si>
    <t>Gripper 3</t>
  </si>
  <si>
    <t>Gripper 2 with metal screw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</si>
</sst>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1A1B1F"/>
      <name val="Roboto"/>
    </font>
    <font>
      <b/>
      <sz val="16.0"/>
      <color rgb="FF435E91"/>
      <name val="Roboto"/>
    </font>
    <font>
      <b/>
      <color rgb="FFFFFFFF"/>
      <name val="Roboto"/>
    </font>
    <font>
      <b/>
      <color rgb="FF1A1B1F"/>
      <name val="Roboto"/>
    </font>
    <font/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DBE1F8"/>
        <bgColor rgb="FFDBE1F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14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4777E"/>
      </right>
      <top style="thin">
        <color rgb="FF74777E"/>
      </top>
      <bottom style="thin">
        <color rgb="FF74777E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74777E"/>
      </left>
      <right style="thin">
        <color rgb="FF74777E"/>
      </right>
      <bottom style="thin">
        <color rgb="FF74777E"/>
      </bottom>
    </border>
    <border>
      <left style="thin">
        <color rgb="FF74777E"/>
      </left>
      <bottom style="thin">
        <color rgb="FF74777E"/>
      </bottom>
    </border>
    <border>
      <left style="thin">
        <color rgb="FF74777E"/>
      </left>
      <top style="thin">
        <color rgb="FF74777E"/>
      </top>
      <bottom style="thin">
        <color rgb="FF74777E"/>
      </bottom>
    </border>
    <border>
      <top style="thin">
        <color rgb="FF74777E"/>
      </top>
      <bottom style="thin">
        <color rgb="FF74777E"/>
      </bottom>
    </border>
    <border>
      <left style="thin">
        <color rgb="FF74777E"/>
      </left>
      <right style="thin">
        <color rgb="FF74777E"/>
      </right>
      <top style="thin">
        <color rgb="FF74777E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2" fillId="4" fontId="4" numFmtId="0" xfId="0" applyAlignment="1" applyBorder="1" applyFont="1">
      <alignment horizontal="center" readingOrder="0"/>
    </xf>
    <xf borderId="3" fillId="4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4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2" fillId="0" fontId="1" numFmtId="4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7" fillId="0" fontId="5" numFmtId="0" xfId="0" applyBorder="1" applyFont="1"/>
    <xf borderId="5" fillId="0" fontId="5" numFmtId="0" xfId="0" applyBorder="1" applyFont="1"/>
    <xf borderId="2" fillId="5" fontId="4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3" fontId="4" numFmtId="0" xfId="0" applyAlignment="1" applyBorder="1" applyFont="1">
      <alignment horizontal="center" readingOrder="0"/>
    </xf>
    <xf borderId="10" fillId="3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12" fillId="0" fontId="5" numFmtId="0" xfId="0" applyBorder="1" applyFont="1"/>
    <xf borderId="0" fillId="0" fontId="6" numFmtId="0" xfId="0" applyAlignment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4" fontId="1" numFmtId="4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1" fillId="6" fontId="1" numFmtId="4" xfId="0" applyAlignment="1" applyBorder="1" applyFont="1" applyNumberFormat="1">
      <alignment horizontal="center" readingOrder="0"/>
    </xf>
    <xf borderId="1" fillId="6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center" readingOrder="0"/>
    </xf>
    <xf borderId="1" fillId="7" fontId="1" numFmtId="4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61.38"/>
    <col customWidth="1" min="3" max="3" width="33.88"/>
    <col customWidth="1" min="4" max="4" width="39.25"/>
    <col customWidth="1" min="5" max="5" width="28.88"/>
    <col customWidth="1" min="6" max="6" width="32.63"/>
    <col customWidth="1" min="7" max="7" width="29.5"/>
    <col customWidth="1" min="8" max="10" width="32.75"/>
    <col customWidth="1" min="11" max="11" width="28.25"/>
    <col customWidth="1" min="12" max="12" width="25.13"/>
  </cols>
  <sheetData>
    <row r="1">
      <c r="A1" s="1"/>
      <c r="B1" s="2" t="s">
        <v>0</v>
      </c>
      <c r="I1" s="1"/>
      <c r="J1" s="1"/>
      <c r="K1" s="1"/>
      <c r="L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3" t="s">
        <v>1</v>
      </c>
      <c r="I3" s="1"/>
      <c r="J3" s="1"/>
      <c r="K3" s="1"/>
      <c r="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4" t="s">
        <v>2</v>
      </c>
      <c r="C5" s="4" t="s">
        <v>3</v>
      </c>
      <c r="D5" s="5" t="s">
        <v>4</v>
      </c>
      <c r="E5" s="4" t="s">
        <v>5</v>
      </c>
      <c r="F5" s="1"/>
      <c r="G5" s="1"/>
      <c r="H5" s="1"/>
      <c r="I5" s="1"/>
      <c r="J5" s="1"/>
      <c r="K5" s="1"/>
      <c r="L5" s="1"/>
    </row>
    <row r="6">
      <c r="A6" s="1"/>
      <c r="B6" s="6" t="s">
        <v>6</v>
      </c>
      <c r="C6" s="6" t="s">
        <v>7</v>
      </c>
      <c r="D6" s="6" t="s">
        <v>8</v>
      </c>
      <c r="E6" s="6" t="s">
        <v>9</v>
      </c>
      <c r="F6" s="1"/>
      <c r="G6" s="1"/>
      <c r="H6" s="1"/>
      <c r="I6" s="1"/>
      <c r="J6" s="1"/>
      <c r="K6" s="1"/>
      <c r="L6" s="1"/>
    </row>
    <row r="7">
      <c r="A7" s="1"/>
      <c r="B7" s="6" t="s">
        <v>10</v>
      </c>
      <c r="C7" s="6" t="s">
        <v>11</v>
      </c>
      <c r="D7" s="6" t="s">
        <v>11</v>
      </c>
      <c r="E7" s="6" t="s">
        <v>9</v>
      </c>
      <c r="F7" s="1"/>
      <c r="G7" s="1"/>
      <c r="H7" s="1"/>
      <c r="I7" s="1"/>
      <c r="J7" s="1"/>
      <c r="K7" s="1"/>
      <c r="L7" s="1"/>
    </row>
    <row r="8">
      <c r="A8" s="1"/>
      <c r="B8" s="6" t="s">
        <v>12</v>
      </c>
      <c r="C8" s="6">
        <v>8.0</v>
      </c>
      <c r="D8" s="6">
        <v>4.3</v>
      </c>
      <c r="E8" s="6" t="s">
        <v>13</v>
      </c>
      <c r="F8" s="1"/>
      <c r="G8" s="1"/>
      <c r="H8" s="1"/>
      <c r="I8" s="1"/>
      <c r="J8" s="1"/>
      <c r="K8" s="1"/>
      <c r="L8" s="1"/>
    </row>
    <row r="9">
      <c r="A9" s="1"/>
      <c r="B9" s="7"/>
      <c r="F9" s="7"/>
      <c r="G9" s="7"/>
      <c r="H9" s="7"/>
      <c r="I9" s="1"/>
      <c r="J9" s="1"/>
      <c r="K9" s="1"/>
      <c r="L9" s="1"/>
    </row>
    <row r="10">
      <c r="A10" s="1"/>
      <c r="B10" s="7" t="s">
        <v>14</v>
      </c>
      <c r="G10" s="7"/>
      <c r="H10" s="7" t="s">
        <v>15</v>
      </c>
    </row>
    <row r="11">
      <c r="A11" s="1"/>
      <c r="B11" s="8" t="s">
        <v>16</v>
      </c>
      <c r="C11" s="8" t="s">
        <v>17</v>
      </c>
      <c r="D11" s="8" t="s">
        <v>18</v>
      </c>
      <c r="E11" s="8" t="s">
        <v>19</v>
      </c>
      <c r="F11" s="9" t="s">
        <v>20</v>
      </c>
      <c r="G11" s="10"/>
      <c r="H11" s="11" t="s">
        <v>16</v>
      </c>
      <c r="I11" s="12" t="s">
        <v>17</v>
      </c>
      <c r="J11" s="12" t="s">
        <v>18</v>
      </c>
      <c r="K11" s="12" t="s">
        <v>19</v>
      </c>
      <c r="L11" s="12" t="s">
        <v>20</v>
      </c>
    </row>
    <row r="12">
      <c r="A12" s="1"/>
      <c r="B12" s="13">
        <v>100.0</v>
      </c>
      <c r="C12" s="14">
        <v>145.26</v>
      </c>
      <c r="D12" s="14">
        <v>142.43</v>
      </c>
      <c r="E12" s="14">
        <v>144.68</v>
      </c>
      <c r="F12" s="15">
        <f t="shared" ref="F12:F22" si="1">AVERAGE(C12:E12)</f>
        <v>144.1233333</v>
      </c>
      <c r="G12" s="16"/>
      <c r="H12" s="17">
        <v>100.0</v>
      </c>
      <c r="I12" s="14">
        <v>73.05</v>
      </c>
      <c r="J12" s="14">
        <v>74.02</v>
      </c>
      <c r="K12" s="14">
        <v>74.73</v>
      </c>
      <c r="L12" s="18">
        <f t="shared" ref="L12:L22" si="2">AVERAGE(I12:K12)</f>
        <v>73.93333333</v>
      </c>
    </row>
    <row r="13">
      <c r="A13" s="1"/>
      <c r="B13" s="13">
        <v>90.0</v>
      </c>
      <c r="C13" s="14">
        <v>140.96</v>
      </c>
      <c r="D13" s="14">
        <v>136.58</v>
      </c>
      <c r="E13" s="14">
        <v>139.27</v>
      </c>
      <c r="F13" s="15">
        <f t="shared" si="1"/>
        <v>138.9366667</v>
      </c>
      <c r="G13" s="16"/>
      <c r="H13" s="17">
        <v>90.0</v>
      </c>
      <c r="I13" s="14">
        <v>65.02</v>
      </c>
      <c r="J13" s="14">
        <v>67.73</v>
      </c>
      <c r="K13" s="14">
        <v>68.39</v>
      </c>
      <c r="L13" s="18">
        <f t="shared" si="2"/>
        <v>67.04666667</v>
      </c>
    </row>
    <row r="14">
      <c r="A14" s="1"/>
      <c r="B14" s="13">
        <v>80.0</v>
      </c>
      <c r="C14" s="14">
        <v>131.55</v>
      </c>
      <c r="D14" s="14">
        <v>127.15</v>
      </c>
      <c r="E14" s="14">
        <v>130.66</v>
      </c>
      <c r="F14" s="15">
        <f t="shared" si="1"/>
        <v>129.7866667</v>
      </c>
      <c r="G14" s="16"/>
      <c r="H14" s="17">
        <v>80.0</v>
      </c>
      <c r="I14" s="14">
        <v>56.36</v>
      </c>
      <c r="J14" s="14">
        <v>59.21</v>
      </c>
      <c r="K14" s="14">
        <v>60.75</v>
      </c>
      <c r="L14" s="18">
        <f t="shared" si="2"/>
        <v>58.77333333</v>
      </c>
    </row>
    <row r="15">
      <c r="A15" s="1"/>
      <c r="B15" s="13">
        <v>70.0</v>
      </c>
      <c r="C15" s="14">
        <v>118.98</v>
      </c>
      <c r="D15" s="14">
        <v>113.62</v>
      </c>
      <c r="E15" s="14">
        <v>118.02</v>
      </c>
      <c r="F15" s="15">
        <f t="shared" si="1"/>
        <v>116.8733333</v>
      </c>
      <c r="G15" s="16"/>
      <c r="H15" s="17">
        <v>70.0</v>
      </c>
      <c r="I15" s="14">
        <v>41.07</v>
      </c>
      <c r="J15" s="14">
        <v>48.87</v>
      </c>
      <c r="K15" s="14">
        <v>50.12</v>
      </c>
      <c r="L15" s="18">
        <f t="shared" si="2"/>
        <v>46.68666667</v>
      </c>
    </row>
    <row r="16">
      <c r="A16" s="1"/>
      <c r="B16" s="13">
        <v>60.0</v>
      </c>
      <c r="C16" s="14">
        <v>106.67</v>
      </c>
      <c r="D16" s="14">
        <v>98.61</v>
      </c>
      <c r="E16" s="14">
        <v>103.84</v>
      </c>
      <c r="F16" s="15">
        <f t="shared" si="1"/>
        <v>103.04</v>
      </c>
      <c r="G16" s="16"/>
      <c r="H16" s="17">
        <v>60.0</v>
      </c>
      <c r="I16" s="14">
        <v>31.09</v>
      </c>
      <c r="J16" s="14">
        <v>39.69</v>
      </c>
      <c r="K16" s="14">
        <v>40.72</v>
      </c>
      <c r="L16" s="18">
        <f t="shared" si="2"/>
        <v>37.16666667</v>
      </c>
    </row>
    <row r="17">
      <c r="A17" s="1"/>
      <c r="B17" s="13">
        <v>50.0</v>
      </c>
      <c r="C17" s="14">
        <v>90.09</v>
      </c>
      <c r="D17" s="14">
        <v>81.77</v>
      </c>
      <c r="E17" s="14">
        <v>88.56</v>
      </c>
      <c r="F17" s="15">
        <f t="shared" si="1"/>
        <v>86.80666667</v>
      </c>
      <c r="G17" s="16"/>
      <c r="H17" s="17">
        <v>50.0</v>
      </c>
      <c r="I17" s="14">
        <v>23.71</v>
      </c>
      <c r="J17" s="14">
        <v>29.87</v>
      </c>
      <c r="K17" s="14">
        <v>30.88</v>
      </c>
      <c r="L17" s="18">
        <f t="shared" si="2"/>
        <v>28.15333333</v>
      </c>
    </row>
    <row r="18">
      <c r="A18" s="1"/>
      <c r="B18" s="13">
        <v>40.0</v>
      </c>
      <c r="C18" s="14">
        <v>71.78</v>
      </c>
      <c r="D18" s="14">
        <v>62.97</v>
      </c>
      <c r="E18" s="14">
        <v>70.92</v>
      </c>
      <c r="F18" s="15">
        <f t="shared" si="1"/>
        <v>68.55666667</v>
      </c>
      <c r="G18" s="16"/>
      <c r="H18" s="17">
        <v>40.0</v>
      </c>
      <c r="I18" s="14">
        <v>17.53</v>
      </c>
      <c r="J18" s="14">
        <v>22.76</v>
      </c>
      <c r="K18" s="14">
        <v>23.28</v>
      </c>
      <c r="L18" s="18">
        <f t="shared" si="2"/>
        <v>21.19</v>
      </c>
    </row>
    <row r="19">
      <c r="A19" s="1"/>
      <c r="B19" s="13">
        <v>30.0</v>
      </c>
      <c r="C19" s="14">
        <v>55.26</v>
      </c>
      <c r="D19" s="14">
        <v>45.12</v>
      </c>
      <c r="E19" s="14">
        <v>53.04</v>
      </c>
      <c r="F19" s="15">
        <f t="shared" si="1"/>
        <v>51.14</v>
      </c>
      <c r="G19" s="16"/>
      <c r="H19" s="17">
        <v>30.0</v>
      </c>
      <c r="I19" s="14">
        <v>13.87</v>
      </c>
      <c r="J19" s="14">
        <v>17.0</v>
      </c>
      <c r="K19" s="14">
        <v>15.52</v>
      </c>
      <c r="L19" s="18">
        <f t="shared" si="2"/>
        <v>15.46333333</v>
      </c>
    </row>
    <row r="20">
      <c r="A20" s="1"/>
      <c r="B20" s="13">
        <v>20.0</v>
      </c>
      <c r="C20" s="14">
        <v>36.52</v>
      </c>
      <c r="D20" s="14">
        <v>28.84</v>
      </c>
      <c r="E20" s="14">
        <v>35.17</v>
      </c>
      <c r="F20" s="15">
        <f t="shared" si="1"/>
        <v>33.51</v>
      </c>
      <c r="G20" s="16"/>
      <c r="H20" s="17">
        <v>20.0</v>
      </c>
      <c r="I20" s="14">
        <v>6.89</v>
      </c>
      <c r="J20" s="14">
        <v>12.94</v>
      </c>
      <c r="K20" s="14">
        <v>7.27</v>
      </c>
      <c r="L20" s="18">
        <f t="shared" si="2"/>
        <v>9.033333333</v>
      </c>
    </row>
    <row r="21">
      <c r="A21" s="1"/>
      <c r="B21" s="13">
        <v>10.0</v>
      </c>
      <c r="C21" s="14">
        <v>20.62</v>
      </c>
      <c r="D21" s="14">
        <v>13.69</v>
      </c>
      <c r="E21" s="14">
        <v>20.43</v>
      </c>
      <c r="F21" s="15">
        <f t="shared" si="1"/>
        <v>18.24666667</v>
      </c>
      <c r="G21" s="16"/>
      <c r="H21" s="17">
        <v>10.0</v>
      </c>
      <c r="I21" s="14">
        <v>2.58</v>
      </c>
      <c r="J21" s="14">
        <v>5.11</v>
      </c>
      <c r="K21" s="14">
        <v>3.14</v>
      </c>
      <c r="L21" s="18">
        <f t="shared" si="2"/>
        <v>3.61</v>
      </c>
    </row>
    <row r="22">
      <c r="A22" s="1"/>
      <c r="B22" s="13">
        <v>0.0</v>
      </c>
      <c r="C22" s="14">
        <v>0.0</v>
      </c>
      <c r="D22" s="14">
        <v>0.0</v>
      </c>
      <c r="E22" s="14">
        <v>0.0</v>
      </c>
      <c r="F22" s="15">
        <f t="shared" si="1"/>
        <v>0</v>
      </c>
      <c r="G22" s="16"/>
      <c r="H22" s="17">
        <v>0.0</v>
      </c>
      <c r="I22" s="14">
        <v>0.0</v>
      </c>
      <c r="J22" s="14">
        <v>0.0</v>
      </c>
      <c r="K22" s="14">
        <v>0.0</v>
      </c>
      <c r="L22" s="18">
        <f t="shared" si="2"/>
        <v>0</v>
      </c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>
      <c r="A24" s="1"/>
      <c r="B24" s="7" t="s">
        <v>21</v>
      </c>
      <c r="G24" s="7"/>
      <c r="H24" s="7" t="s">
        <v>22</v>
      </c>
    </row>
    <row r="25">
      <c r="A25" s="1"/>
      <c r="B25" s="8" t="s">
        <v>16</v>
      </c>
      <c r="C25" s="8" t="s">
        <v>17</v>
      </c>
      <c r="D25" s="8" t="s">
        <v>18</v>
      </c>
      <c r="E25" s="8" t="s">
        <v>19</v>
      </c>
      <c r="F25" s="9" t="s">
        <v>20</v>
      </c>
      <c r="G25" s="10"/>
      <c r="H25" s="11" t="s">
        <v>16</v>
      </c>
      <c r="I25" s="12" t="s">
        <v>17</v>
      </c>
      <c r="J25" s="12" t="s">
        <v>18</v>
      </c>
      <c r="K25" s="12" t="s">
        <v>19</v>
      </c>
      <c r="L25" s="12" t="s">
        <v>20</v>
      </c>
    </row>
    <row r="26">
      <c r="A26" s="1"/>
      <c r="B26" s="19">
        <v>0.0</v>
      </c>
      <c r="C26" s="14">
        <v>0.0</v>
      </c>
      <c r="D26" s="14">
        <v>0.0</v>
      </c>
      <c r="E26" s="14">
        <v>0.0</v>
      </c>
      <c r="F26" s="15">
        <f t="shared" ref="F26:F36" si="3">AVERAGE(C26:E26)</f>
        <v>0</v>
      </c>
      <c r="G26" s="16"/>
      <c r="H26" s="20">
        <v>0.0</v>
      </c>
      <c r="I26" s="14">
        <v>0.0</v>
      </c>
      <c r="J26" s="14">
        <v>0.0</v>
      </c>
      <c r="K26" s="14">
        <v>0.0</v>
      </c>
      <c r="L26" s="18">
        <f t="shared" ref="L26:L36" si="4">AVERAGE(I26:K26)</f>
        <v>0</v>
      </c>
    </row>
    <row r="27">
      <c r="A27" s="1"/>
      <c r="B27" s="19">
        <v>10.0</v>
      </c>
      <c r="C27" s="14">
        <v>16.55</v>
      </c>
      <c r="D27" s="14">
        <v>20.66</v>
      </c>
      <c r="E27" s="14">
        <v>16.91</v>
      </c>
      <c r="F27" s="15">
        <f t="shared" si="3"/>
        <v>18.04</v>
      </c>
      <c r="G27" s="16"/>
      <c r="H27" s="20">
        <v>10.0</v>
      </c>
      <c r="I27" s="14">
        <v>13.91</v>
      </c>
      <c r="J27" s="14">
        <v>14.43</v>
      </c>
      <c r="K27" s="14">
        <v>14.15</v>
      </c>
      <c r="L27" s="18">
        <f t="shared" si="4"/>
        <v>14.16333333</v>
      </c>
    </row>
    <row r="28">
      <c r="A28" s="1"/>
      <c r="B28" s="19">
        <v>20.0</v>
      </c>
      <c r="C28" s="14">
        <v>29.53</v>
      </c>
      <c r="D28" s="14">
        <v>34.01</v>
      </c>
      <c r="E28" s="14">
        <v>30.07</v>
      </c>
      <c r="F28" s="15">
        <f t="shared" si="3"/>
        <v>31.20333333</v>
      </c>
      <c r="G28" s="16"/>
      <c r="H28" s="20">
        <v>20.0</v>
      </c>
      <c r="I28" s="14">
        <v>21.99</v>
      </c>
      <c r="J28" s="14">
        <v>22.52</v>
      </c>
      <c r="K28" s="14">
        <v>22.85</v>
      </c>
      <c r="L28" s="18">
        <f t="shared" si="4"/>
        <v>22.45333333</v>
      </c>
    </row>
    <row r="29">
      <c r="A29" s="1"/>
      <c r="B29" s="19">
        <v>30.0</v>
      </c>
      <c r="C29" s="14">
        <v>46.26</v>
      </c>
      <c r="D29" s="14">
        <v>53.24</v>
      </c>
      <c r="E29" s="14">
        <v>48.15</v>
      </c>
      <c r="F29" s="15">
        <f t="shared" si="3"/>
        <v>49.21666667</v>
      </c>
      <c r="G29" s="16"/>
      <c r="H29" s="20">
        <v>30.0</v>
      </c>
      <c r="I29" s="14">
        <v>32.02</v>
      </c>
      <c r="J29" s="14">
        <v>32.4</v>
      </c>
      <c r="K29" s="14">
        <v>32.44</v>
      </c>
      <c r="L29" s="18">
        <f t="shared" si="4"/>
        <v>32.28666667</v>
      </c>
    </row>
    <row r="30">
      <c r="A30" s="1"/>
      <c r="B30" s="19">
        <v>40.0</v>
      </c>
      <c r="C30" s="14">
        <v>64.57</v>
      </c>
      <c r="D30" s="14">
        <v>71.18</v>
      </c>
      <c r="E30" s="14">
        <v>66.84</v>
      </c>
      <c r="F30" s="15">
        <f t="shared" si="3"/>
        <v>67.53</v>
      </c>
      <c r="G30" s="16"/>
      <c r="H30" s="20">
        <v>40.0</v>
      </c>
      <c r="I30" s="14">
        <v>43.81</v>
      </c>
      <c r="J30" s="14">
        <v>44.06</v>
      </c>
      <c r="K30" s="14">
        <v>44.35</v>
      </c>
      <c r="L30" s="18">
        <f t="shared" si="4"/>
        <v>44.07333333</v>
      </c>
    </row>
    <row r="31">
      <c r="A31" s="1"/>
      <c r="B31" s="19">
        <v>50.0</v>
      </c>
      <c r="C31" s="14">
        <v>81.29</v>
      </c>
      <c r="D31" s="14">
        <v>84.99</v>
      </c>
      <c r="E31" s="14">
        <v>81.93</v>
      </c>
      <c r="F31" s="15">
        <f t="shared" si="3"/>
        <v>82.73666667</v>
      </c>
      <c r="G31" s="16"/>
      <c r="H31" s="20">
        <v>50.0</v>
      </c>
      <c r="I31" s="14">
        <v>52.59</v>
      </c>
      <c r="J31" s="14">
        <v>52.78</v>
      </c>
      <c r="K31" s="14">
        <v>52.82</v>
      </c>
      <c r="L31" s="18">
        <f t="shared" si="4"/>
        <v>52.73</v>
      </c>
    </row>
    <row r="32">
      <c r="A32" s="1"/>
      <c r="B32" s="19">
        <v>60.0</v>
      </c>
      <c r="C32" s="14">
        <v>98.58</v>
      </c>
      <c r="D32" s="14">
        <v>103.31</v>
      </c>
      <c r="E32" s="14">
        <v>99.56</v>
      </c>
      <c r="F32" s="15">
        <f t="shared" si="3"/>
        <v>100.4833333</v>
      </c>
      <c r="G32" s="16"/>
      <c r="H32" s="20">
        <v>60.0</v>
      </c>
      <c r="I32" s="14">
        <v>60.09</v>
      </c>
      <c r="J32" s="14">
        <v>60.52</v>
      </c>
      <c r="K32" s="14">
        <v>60.68</v>
      </c>
      <c r="L32" s="18">
        <f t="shared" si="4"/>
        <v>60.43</v>
      </c>
    </row>
    <row r="33">
      <c r="A33" s="1"/>
      <c r="B33" s="19">
        <v>70.0</v>
      </c>
      <c r="C33" s="14">
        <v>112.86</v>
      </c>
      <c r="D33" s="14">
        <v>115.55</v>
      </c>
      <c r="E33" s="14">
        <v>113.11</v>
      </c>
      <c r="F33" s="15">
        <f t="shared" si="3"/>
        <v>113.84</v>
      </c>
      <c r="G33" s="16"/>
      <c r="H33" s="20">
        <v>70.0</v>
      </c>
      <c r="I33" s="14">
        <v>65.47</v>
      </c>
      <c r="J33" s="14">
        <v>65.45</v>
      </c>
      <c r="K33" s="14">
        <v>65.45</v>
      </c>
      <c r="L33" s="18">
        <f t="shared" si="4"/>
        <v>65.45666667</v>
      </c>
    </row>
    <row r="34">
      <c r="A34" s="1"/>
      <c r="B34" s="19">
        <v>80.0</v>
      </c>
      <c r="C34" s="14">
        <v>123.48</v>
      </c>
      <c r="D34" s="14">
        <v>126.09</v>
      </c>
      <c r="E34" s="14">
        <v>124.26</v>
      </c>
      <c r="F34" s="15">
        <f t="shared" si="3"/>
        <v>124.61</v>
      </c>
      <c r="G34" s="16"/>
      <c r="H34" s="20">
        <v>80.0</v>
      </c>
      <c r="I34" s="14">
        <v>68.95</v>
      </c>
      <c r="J34" s="14">
        <v>69.19</v>
      </c>
      <c r="K34" s="14">
        <v>69.54</v>
      </c>
      <c r="L34" s="18">
        <f t="shared" si="4"/>
        <v>69.22666667</v>
      </c>
    </row>
    <row r="35">
      <c r="A35" s="1"/>
      <c r="B35" s="19">
        <v>90.0</v>
      </c>
      <c r="C35" s="14">
        <v>134.02</v>
      </c>
      <c r="D35" s="14">
        <v>136.48</v>
      </c>
      <c r="E35" s="14">
        <v>134.84</v>
      </c>
      <c r="F35" s="15">
        <f t="shared" si="3"/>
        <v>135.1133333</v>
      </c>
      <c r="G35" s="16"/>
      <c r="H35" s="20">
        <v>90.0</v>
      </c>
      <c r="I35" s="14">
        <v>71.6</v>
      </c>
      <c r="J35" s="14">
        <v>71.86</v>
      </c>
      <c r="K35" s="14">
        <v>72.36</v>
      </c>
      <c r="L35" s="18">
        <f t="shared" si="4"/>
        <v>71.94</v>
      </c>
    </row>
    <row r="36">
      <c r="A36" s="1"/>
      <c r="B36" s="19">
        <v>100.0</v>
      </c>
      <c r="C36" s="14">
        <v>142.43</v>
      </c>
      <c r="D36" s="14">
        <v>144.35</v>
      </c>
      <c r="E36" s="14">
        <v>143.14</v>
      </c>
      <c r="F36" s="15">
        <f t="shared" si="3"/>
        <v>143.3066667</v>
      </c>
      <c r="G36" s="16"/>
      <c r="H36" s="20">
        <v>100.0</v>
      </c>
      <c r="I36" s="14">
        <v>74.01</v>
      </c>
      <c r="J36" s="14">
        <v>74.03</v>
      </c>
      <c r="K36" s="14">
        <v>74.74</v>
      </c>
      <c r="L36" s="18">
        <f t="shared" si="4"/>
        <v>74.26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>
      <c r="A39" s="1"/>
      <c r="B39" s="12" t="s">
        <v>23</v>
      </c>
      <c r="C39" s="8" t="s">
        <v>24</v>
      </c>
      <c r="D39" s="8" t="s">
        <v>25</v>
      </c>
      <c r="E39" s="8" t="s">
        <v>26</v>
      </c>
      <c r="F39" s="8" t="s">
        <v>27</v>
      </c>
      <c r="G39" s="8" t="s">
        <v>28</v>
      </c>
      <c r="H39" s="12" t="s">
        <v>29</v>
      </c>
      <c r="I39" s="12" t="s">
        <v>30</v>
      </c>
      <c r="J39" s="12" t="s">
        <v>31</v>
      </c>
      <c r="K39" s="12" t="s">
        <v>32</v>
      </c>
      <c r="L39" s="12" t="s">
        <v>33</v>
      </c>
    </row>
    <row r="40">
      <c r="A40" s="1"/>
      <c r="B40" s="14">
        <v>0.0</v>
      </c>
      <c r="C40" s="14">
        <v>0.0</v>
      </c>
      <c r="D40" s="14">
        <v>0.0</v>
      </c>
      <c r="E40" s="14">
        <v>0.0</v>
      </c>
      <c r="F40" s="14">
        <v>0.0</v>
      </c>
      <c r="G40" s="14" t="s">
        <v>34</v>
      </c>
      <c r="H40" s="14">
        <v>0.0</v>
      </c>
      <c r="I40" s="14">
        <v>0.0</v>
      </c>
      <c r="J40" s="14">
        <v>0.0</v>
      </c>
      <c r="K40" s="14">
        <v>0.0</v>
      </c>
      <c r="L40" s="14" t="s">
        <v>34</v>
      </c>
    </row>
    <row r="41">
      <c r="A41" s="1"/>
      <c r="B41" s="14">
        <v>2.0</v>
      </c>
      <c r="C41" s="14">
        <v>0.0</v>
      </c>
      <c r="D41" s="14">
        <v>0.0</v>
      </c>
      <c r="E41" s="14">
        <v>0.0</v>
      </c>
      <c r="F41" s="14">
        <v>0.0</v>
      </c>
      <c r="G41" s="14" t="s">
        <v>34</v>
      </c>
      <c r="H41" s="14">
        <v>0.0</v>
      </c>
      <c r="I41" s="14">
        <v>0.0</v>
      </c>
      <c r="J41" s="14">
        <v>0.0</v>
      </c>
      <c r="K41" s="14">
        <v>0.0</v>
      </c>
      <c r="L41" s="14" t="s">
        <v>34</v>
      </c>
    </row>
    <row r="42">
      <c r="A42" s="1"/>
      <c r="B42" s="14">
        <v>4.0</v>
      </c>
      <c r="C42" s="14">
        <v>0.89</v>
      </c>
      <c r="D42" s="14">
        <v>0.35</v>
      </c>
      <c r="E42" s="14">
        <v>1.05</v>
      </c>
      <c r="F42" s="14">
        <v>0.76</v>
      </c>
      <c r="G42" s="14">
        <v>2.62</v>
      </c>
      <c r="H42" s="14">
        <v>1.61</v>
      </c>
      <c r="I42" s="14">
        <v>1.59</v>
      </c>
      <c r="J42" s="14">
        <v>0.73</v>
      </c>
      <c r="K42" s="14">
        <v>1.31</v>
      </c>
      <c r="L42" s="14">
        <v>1.53</v>
      </c>
    </row>
    <row r="43">
      <c r="A43" s="1"/>
      <c r="B43" s="14">
        <v>6.0</v>
      </c>
      <c r="C43" s="14">
        <v>1.85</v>
      </c>
      <c r="D43" s="14">
        <v>0.92</v>
      </c>
      <c r="E43" s="14">
        <v>1.58</v>
      </c>
      <c r="F43" s="14">
        <v>1.45</v>
      </c>
      <c r="G43" s="14">
        <v>2.76</v>
      </c>
      <c r="H43" s="14">
        <v>2.41</v>
      </c>
      <c r="I43" s="14">
        <v>2.81</v>
      </c>
      <c r="J43" s="14">
        <v>1.93</v>
      </c>
      <c r="K43" s="14">
        <v>2.38</v>
      </c>
      <c r="L43" s="14">
        <v>1.68</v>
      </c>
    </row>
    <row r="44">
      <c r="A44" s="1"/>
      <c r="B44" s="14">
        <v>8.0</v>
      </c>
      <c r="C44" s="14" t="s">
        <v>34</v>
      </c>
      <c r="D44" s="14" t="s">
        <v>34</v>
      </c>
      <c r="E44" s="14" t="s">
        <v>34</v>
      </c>
      <c r="F44" s="14" t="s">
        <v>34</v>
      </c>
      <c r="G44" s="14" t="s">
        <v>34</v>
      </c>
      <c r="H44" s="14">
        <v>4.02</v>
      </c>
      <c r="I44" s="14">
        <v>3.85</v>
      </c>
      <c r="J44" s="14">
        <v>3.43</v>
      </c>
      <c r="K44" s="14">
        <v>3.77</v>
      </c>
      <c r="L44" s="14">
        <v>1.59</v>
      </c>
    </row>
    <row r="45">
      <c r="A45" s="1"/>
      <c r="B45" s="14">
        <v>10.0</v>
      </c>
      <c r="C45" s="14" t="s">
        <v>34</v>
      </c>
      <c r="D45" s="14" t="s">
        <v>34</v>
      </c>
      <c r="E45" s="14" t="s">
        <v>34</v>
      </c>
      <c r="F45" s="14" t="s">
        <v>34</v>
      </c>
      <c r="G45" s="14" t="s">
        <v>34</v>
      </c>
      <c r="H45" s="14">
        <v>4.63</v>
      </c>
      <c r="I45" s="14">
        <v>4.43</v>
      </c>
      <c r="J45" s="14">
        <v>4.33</v>
      </c>
      <c r="K45" s="14">
        <v>4.46</v>
      </c>
      <c r="L45" s="14">
        <v>1.79</v>
      </c>
    </row>
    <row r="46">
      <c r="A46" s="1"/>
      <c r="B46" s="14">
        <v>12.0</v>
      </c>
      <c r="C46" s="14" t="s">
        <v>34</v>
      </c>
      <c r="D46" s="14" t="s">
        <v>34</v>
      </c>
      <c r="E46" s="14" t="s">
        <v>34</v>
      </c>
      <c r="F46" s="14" t="s">
        <v>34</v>
      </c>
      <c r="G46" s="14" t="s">
        <v>34</v>
      </c>
      <c r="H46" s="14">
        <v>5.66</v>
      </c>
      <c r="I46" s="14">
        <v>5.56</v>
      </c>
      <c r="J46" s="14">
        <v>5.1</v>
      </c>
      <c r="K46" s="14">
        <v>5.44</v>
      </c>
      <c r="L46" s="14">
        <v>1.84</v>
      </c>
    </row>
    <row r="47">
      <c r="A47" s="1"/>
      <c r="B47" s="14">
        <v>14.0</v>
      </c>
      <c r="C47" s="14" t="s">
        <v>34</v>
      </c>
      <c r="D47" s="14" t="s">
        <v>34</v>
      </c>
      <c r="E47" s="14" t="s">
        <v>34</v>
      </c>
      <c r="F47" s="14" t="s">
        <v>34</v>
      </c>
      <c r="G47" s="14" t="s">
        <v>34</v>
      </c>
      <c r="H47" s="14">
        <v>6.29</v>
      </c>
      <c r="I47" s="14">
        <v>6.6</v>
      </c>
      <c r="J47" s="14">
        <v>6.37</v>
      </c>
      <c r="K47" s="14">
        <v>6.42</v>
      </c>
      <c r="L47" s="14">
        <v>1.87</v>
      </c>
    </row>
    <row r="48">
      <c r="A48" s="1"/>
      <c r="B48" s="14" t="s">
        <v>35</v>
      </c>
      <c r="C48" s="14" t="s">
        <v>36</v>
      </c>
      <c r="D48" s="14" t="s">
        <v>37</v>
      </c>
      <c r="E48" s="14" t="s">
        <v>38</v>
      </c>
      <c r="F48" s="14" t="s">
        <v>39</v>
      </c>
      <c r="G48" s="14">
        <v>2.63</v>
      </c>
      <c r="H48" s="14" t="s">
        <v>40</v>
      </c>
      <c r="I48" s="14" t="s">
        <v>41</v>
      </c>
      <c r="J48" s="14" t="s">
        <v>42</v>
      </c>
      <c r="K48" s="14" t="s">
        <v>43</v>
      </c>
      <c r="L48" s="14">
        <v>2.17</v>
      </c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>
      <c r="A50" s="1"/>
      <c r="B50" s="21" t="s">
        <v>44</v>
      </c>
      <c r="C50" s="22"/>
      <c r="D50" s="22"/>
      <c r="E50" s="23"/>
      <c r="F50" s="1"/>
      <c r="G50" s="1"/>
      <c r="H50" s="1"/>
      <c r="I50" s="1"/>
      <c r="J50" s="1"/>
      <c r="K50" s="1"/>
      <c r="L50" s="1"/>
    </row>
    <row r="51">
      <c r="A51" s="1"/>
      <c r="B51" s="24" t="s">
        <v>45</v>
      </c>
      <c r="C51" s="8" t="s">
        <v>46</v>
      </c>
      <c r="D51" s="24" t="s">
        <v>47</v>
      </c>
      <c r="E51" s="24" t="s">
        <v>48</v>
      </c>
      <c r="F51" s="1"/>
      <c r="G51" s="1"/>
      <c r="H51" s="1"/>
      <c r="I51" s="1"/>
      <c r="J51" s="1"/>
      <c r="K51" s="1"/>
      <c r="L51" s="1"/>
    </row>
    <row r="52">
      <c r="A52" s="1"/>
      <c r="B52" s="14">
        <v>1.0</v>
      </c>
      <c r="C52" s="14">
        <v>7.16</v>
      </c>
      <c r="D52" s="14">
        <v>14.65</v>
      </c>
      <c r="E52" s="14" t="s">
        <v>49</v>
      </c>
      <c r="F52" s="1"/>
      <c r="G52" s="1"/>
      <c r="H52" s="1"/>
      <c r="I52" s="1"/>
      <c r="J52" s="1"/>
      <c r="K52" s="1"/>
      <c r="L52" s="1"/>
    </row>
    <row r="53">
      <c r="A53" s="1"/>
      <c r="B53" s="14">
        <v>2.0</v>
      </c>
      <c r="C53" s="14">
        <v>6.67</v>
      </c>
      <c r="D53" s="14">
        <v>19.26</v>
      </c>
      <c r="E53" s="14" t="s">
        <v>50</v>
      </c>
      <c r="F53" s="1"/>
      <c r="G53" s="1"/>
      <c r="H53" s="1"/>
      <c r="I53" s="1"/>
      <c r="J53" s="1"/>
      <c r="K53" s="1"/>
      <c r="L53" s="1"/>
    </row>
    <row r="54">
      <c r="A54" s="1"/>
      <c r="B54" s="14">
        <v>3.0</v>
      </c>
      <c r="C54" s="14">
        <v>6.95</v>
      </c>
      <c r="D54" s="14">
        <v>18.9</v>
      </c>
      <c r="E54" s="14" t="s">
        <v>51</v>
      </c>
      <c r="F54" s="1"/>
      <c r="G54" s="1"/>
      <c r="H54" s="1"/>
      <c r="I54" s="1"/>
      <c r="J54" s="1"/>
      <c r="K54" s="1"/>
      <c r="L54" s="1"/>
    </row>
    <row r="55">
      <c r="A55" s="1"/>
      <c r="B55" s="25" t="s">
        <v>52</v>
      </c>
      <c r="C55" s="25">
        <v>6.93</v>
      </c>
      <c r="D55" s="25">
        <v>17.6</v>
      </c>
      <c r="E55" s="25" t="s">
        <v>53</v>
      </c>
      <c r="F55" s="1"/>
      <c r="G55" s="1"/>
      <c r="H55" s="1"/>
      <c r="I55" s="1"/>
      <c r="J55" s="1"/>
      <c r="K55" s="1"/>
      <c r="L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>
      <c r="A57" s="1"/>
      <c r="B57" s="3" t="s">
        <v>54</v>
      </c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>
      <c r="A59" s="1"/>
      <c r="B59" s="8" t="s">
        <v>55</v>
      </c>
      <c r="C59" s="8" t="s">
        <v>56</v>
      </c>
      <c r="D59" s="8" t="s">
        <v>57</v>
      </c>
      <c r="E59" s="8" t="s">
        <v>58</v>
      </c>
      <c r="F59" s="8" t="s">
        <v>59</v>
      </c>
      <c r="G59" s="9" t="s">
        <v>60</v>
      </c>
      <c r="H59" s="26"/>
      <c r="I59" s="1"/>
      <c r="J59" s="1"/>
      <c r="K59" s="1"/>
      <c r="L59" s="1"/>
    </row>
    <row r="60">
      <c r="A60" s="1"/>
      <c r="B60" s="14">
        <v>1.0</v>
      </c>
      <c r="C60" s="14">
        <v>3.64</v>
      </c>
      <c r="D60" s="14">
        <v>0.371</v>
      </c>
      <c r="E60" s="14">
        <v>0.36</v>
      </c>
      <c r="F60" s="27">
        <f t="shared" ref="F60:F64" si="5">E60*5</f>
        <v>1.8</v>
      </c>
      <c r="G60" s="15">
        <f t="shared" ref="G60:G64" si="6">IFERROR(C60/F60, "")</f>
        <v>2.022222222</v>
      </c>
      <c r="H60" s="28"/>
      <c r="I60" s="1"/>
      <c r="J60" s="1"/>
      <c r="K60" s="1"/>
      <c r="L60" s="1"/>
    </row>
    <row r="61">
      <c r="A61" s="1"/>
      <c r="B61" s="14">
        <v>2.0</v>
      </c>
      <c r="C61" s="14">
        <v>3.42</v>
      </c>
      <c r="D61" s="14">
        <v>0.375</v>
      </c>
      <c r="E61" s="14">
        <v>0.37</v>
      </c>
      <c r="F61" s="27">
        <f t="shared" si="5"/>
        <v>1.85</v>
      </c>
      <c r="G61" s="15">
        <f t="shared" si="6"/>
        <v>1.848648649</v>
      </c>
      <c r="H61" s="28"/>
      <c r="I61" s="1"/>
      <c r="J61" s="1"/>
      <c r="K61" s="1"/>
      <c r="L61" s="1"/>
    </row>
    <row r="62">
      <c r="A62" s="1"/>
      <c r="B62" s="14">
        <v>3.0</v>
      </c>
      <c r="C62" s="14">
        <v>3.29</v>
      </c>
      <c r="D62" s="14">
        <v>0.372</v>
      </c>
      <c r="E62" s="14">
        <v>0.369</v>
      </c>
      <c r="F62" s="27">
        <f t="shared" si="5"/>
        <v>1.845</v>
      </c>
      <c r="G62" s="15">
        <f t="shared" si="6"/>
        <v>1.783197832</v>
      </c>
      <c r="H62" s="28"/>
      <c r="I62" s="1"/>
      <c r="J62" s="1"/>
      <c r="K62" s="1"/>
      <c r="L62" s="1"/>
    </row>
    <row r="63">
      <c r="A63" s="1"/>
      <c r="B63" s="14">
        <v>4.0</v>
      </c>
      <c r="C63" s="14">
        <v>3.26</v>
      </c>
      <c r="D63" s="14">
        <v>0.372</v>
      </c>
      <c r="E63" s="14">
        <v>0.37</v>
      </c>
      <c r="F63" s="27">
        <f t="shared" si="5"/>
        <v>1.85</v>
      </c>
      <c r="G63" s="15">
        <f t="shared" si="6"/>
        <v>1.762162162</v>
      </c>
      <c r="H63" s="28"/>
      <c r="I63" s="1"/>
      <c r="J63" s="1"/>
      <c r="K63" s="1"/>
      <c r="L63" s="1"/>
    </row>
    <row r="64">
      <c r="A64" s="1"/>
      <c r="B64" s="14">
        <v>5.0</v>
      </c>
      <c r="C64" s="14">
        <v>3.9</v>
      </c>
      <c r="D64" s="14">
        <v>0.371</v>
      </c>
      <c r="E64" s="14">
        <v>0.369</v>
      </c>
      <c r="F64" s="27">
        <f t="shared" si="5"/>
        <v>1.845</v>
      </c>
      <c r="G64" s="15">
        <f t="shared" si="6"/>
        <v>2.113821138</v>
      </c>
      <c r="H64" s="28"/>
      <c r="I64" s="1"/>
      <c r="J64" s="1"/>
      <c r="K64" s="1"/>
      <c r="L64" s="1"/>
    </row>
    <row r="65">
      <c r="A65" s="1"/>
      <c r="B65" s="29" t="s">
        <v>61</v>
      </c>
      <c r="C65" s="29" t="s">
        <v>62</v>
      </c>
      <c r="D65" s="29" t="s">
        <v>63</v>
      </c>
      <c r="E65" s="30" t="s">
        <v>64</v>
      </c>
      <c r="F65" s="12" t="s">
        <v>65</v>
      </c>
      <c r="G65" s="31" t="s">
        <v>66</v>
      </c>
      <c r="H65" s="28"/>
      <c r="I65" s="1"/>
      <c r="J65" s="1"/>
      <c r="K65" s="1"/>
      <c r="L65" s="1"/>
    </row>
    <row r="66">
      <c r="A66" s="1"/>
      <c r="B66" s="6">
        <v>1.0</v>
      </c>
      <c r="C66" s="6">
        <v>9.07</v>
      </c>
      <c r="D66" s="6">
        <v>0.362</v>
      </c>
      <c r="E66" s="32">
        <v>0.36</v>
      </c>
      <c r="F66" s="27">
        <f t="shared" ref="F66:F70" si="7">E66*5</f>
        <v>1.8</v>
      </c>
      <c r="G66" s="15">
        <f t="shared" ref="G66:G70" si="8">IFERROR(C66/F66, "")</f>
        <v>5.038888889</v>
      </c>
      <c r="H66" s="28"/>
      <c r="I66" s="1"/>
      <c r="J66" s="1"/>
      <c r="K66" s="1"/>
      <c r="L66" s="1"/>
    </row>
    <row r="67">
      <c r="A67" s="1"/>
      <c r="B67" s="6">
        <v>2.0</v>
      </c>
      <c r="C67" s="6">
        <v>9.08</v>
      </c>
      <c r="D67" s="6">
        <v>0.364</v>
      </c>
      <c r="E67" s="32">
        <v>0.362</v>
      </c>
      <c r="F67" s="27">
        <f t="shared" si="7"/>
        <v>1.81</v>
      </c>
      <c r="G67" s="15">
        <f t="shared" si="8"/>
        <v>5.016574586</v>
      </c>
      <c r="H67" s="28"/>
      <c r="I67" s="1"/>
      <c r="J67" s="1"/>
      <c r="K67" s="1"/>
      <c r="L67" s="1"/>
    </row>
    <row r="68">
      <c r="A68" s="1"/>
      <c r="B68" s="6">
        <v>3.0</v>
      </c>
      <c r="C68" s="6">
        <v>9.63</v>
      </c>
      <c r="D68" s="6">
        <v>0.364</v>
      </c>
      <c r="E68" s="32">
        <v>0.361</v>
      </c>
      <c r="F68" s="27">
        <f t="shared" si="7"/>
        <v>1.805</v>
      </c>
      <c r="G68" s="15">
        <f t="shared" si="8"/>
        <v>5.335180055</v>
      </c>
      <c r="H68" s="28"/>
      <c r="I68" s="1"/>
      <c r="J68" s="1"/>
      <c r="K68" s="1"/>
      <c r="L68" s="1"/>
    </row>
    <row r="69">
      <c r="A69" s="1"/>
      <c r="B69" s="6">
        <v>4.0</v>
      </c>
      <c r="C69" s="6">
        <v>8.92</v>
      </c>
      <c r="D69" s="6">
        <v>0.367</v>
      </c>
      <c r="E69" s="32">
        <v>0.364</v>
      </c>
      <c r="F69" s="27">
        <f t="shared" si="7"/>
        <v>1.82</v>
      </c>
      <c r="G69" s="15">
        <f t="shared" si="8"/>
        <v>4.901098901</v>
      </c>
      <c r="H69" s="28"/>
      <c r="I69" s="1"/>
      <c r="J69" s="1"/>
      <c r="K69" s="1"/>
      <c r="L69" s="1"/>
    </row>
    <row r="70">
      <c r="A70" s="1"/>
      <c r="B70" s="6">
        <v>5.0</v>
      </c>
      <c r="C70" s="6">
        <v>8.92</v>
      </c>
      <c r="D70" s="6">
        <v>0.366</v>
      </c>
      <c r="E70" s="32">
        <v>0.363</v>
      </c>
      <c r="F70" s="27">
        <f t="shared" si="7"/>
        <v>1.815</v>
      </c>
      <c r="G70" s="15">
        <f t="shared" si="8"/>
        <v>4.914600551</v>
      </c>
      <c r="H70" s="28"/>
      <c r="I70" s="1"/>
      <c r="J70" s="1"/>
      <c r="K70" s="1"/>
      <c r="L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>
      <c r="A72" s="1"/>
      <c r="B72" s="3" t="s">
        <v>67</v>
      </c>
      <c r="H72" s="1"/>
      <c r="I72" s="1"/>
      <c r="J72" s="1"/>
      <c r="K72" s="1"/>
      <c r="L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>
      <c r="A74" s="1"/>
      <c r="B74" s="4" t="s">
        <v>2</v>
      </c>
      <c r="C74" s="4" t="s">
        <v>3</v>
      </c>
      <c r="D74" s="5" t="s">
        <v>4</v>
      </c>
      <c r="E74" s="4" t="s">
        <v>68</v>
      </c>
      <c r="F74" s="1"/>
      <c r="G74" s="1"/>
      <c r="H74" s="1"/>
      <c r="I74" s="1"/>
      <c r="J74" s="1"/>
      <c r="K74" s="1"/>
      <c r="L74" s="1"/>
    </row>
    <row r="75">
      <c r="A75" s="1"/>
      <c r="B75" s="6" t="s">
        <v>69</v>
      </c>
      <c r="C75" s="6" t="s">
        <v>70</v>
      </c>
      <c r="D75" s="6" t="s">
        <v>71</v>
      </c>
      <c r="E75" s="32" t="s">
        <v>72</v>
      </c>
      <c r="F75" s="33"/>
      <c r="G75" s="34"/>
      <c r="H75" s="1"/>
      <c r="I75" s="1"/>
      <c r="J75" s="1"/>
      <c r="K75" s="1"/>
      <c r="L75" s="1"/>
    </row>
    <row r="76">
      <c r="A76" s="1"/>
      <c r="B76" s="6" t="s">
        <v>73</v>
      </c>
      <c r="C76" s="6" t="s">
        <v>74</v>
      </c>
      <c r="D76" s="6" t="s">
        <v>75</v>
      </c>
      <c r="E76" s="35"/>
      <c r="F76" s="1"/>
      <c r="G76" s="1"/>
      <c r="H76" s="1"/>
      <c r="I76" s="1"/>
      <c r="J76" s="1"/>
      <c r="K76" s="1"/>
      <c r="L76" s="1"/>
    </row>
    <row r="77">
      <c r="A77" s="1"/>
      <c r="B77" s="6" t="s">
        <v>76</v>
      </c>
      <c r="C77" s="6" t="s">
        <v>77</v>
      </c>
      <c r="D77" s="6" t="s">
        <v>78</v>
      </c>
      <c r="E77" s="6" t="s">
        <v>79</v>
      </c>
      <c r="F77" s="1"/>
      <c r="G77" s="1"/>
      <c r="H77" s="1"/>
      <c r="I77" s="1"/>
      <c r="J77" s="1"/>
      <c r="K77" s="1"/>
      <c r="L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>
      <c r="A79" s="1"/>
      <c r="B79" s="3" t="s">
        <v>80</v>
      </c>
      <c r="H79" s="1"/>
      <c r="I79" s="1"/>
      <c r="J79" s="1"/>
      <c r="K79" s="1"/>
      <c r="L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>
      <c r="A81" s="1"/>
      <c r="B81" s="4" t="s">
        <v>81</v>
      </c>
      <c r="C81" s="4" t="s">
        <v>82</v>
      </c>
      <c r="D81" s="5" t="s">
        <v>83</v>
      </c>
      <c r="E81" s="4" t="s">
        <v>84</v>
      </c>
      <c r="F81" s="4" t="s">
        <v>85</v>
      </c>
      <c r="G81" s="4" t="s">
        <v>68</v>
      </c>
      <c r="H81" s="1"/>
      <c r="I81" s="1"/>
      <c r="J81" s="1"/>
      <c r="K81" s="1"/>
      <c r="L81" s="1"/>
    </row>
    <row r="82">
      <c r="A82" s="1"/>
      <c r="B82" s="6" t="s">
        <v>86</v>
      </c>
      <c r="C82" s="35"/>
      <c r="D82" s="35"/>
      <c r="E82" s="35"/>
      <c r="F82" s="35"/>
      <c r="G82" s="35"/>
      <c r="H82" s="1"/>
      <c r="I82" s="1"/>
      <c r="J82" s="1"/>
      <c r="K82" s="1"/>
      <c r="L82" s="1"/>
    </row>
    <row r="83">
      <c r="A83" s="1"/>
      <c r="B83" s="6" t="s">
        <v>87</v>
      </c>
      <c r="C83" s="35"/>
      <c r="D83" s="35"/>
      <c r="E83" s="35"/>
      <c r="F83" s="35"/>
      <c r="G83" s="35"/>
      <c r="H83" s="1"/>
      <c r="I83" s="1"/>
      <c r="J83" s="1"/>
      <c r="K83" s="1"/>
      <c r="L83" s="1"/>
    </row>
    <row r="84">
      <c r="A84" s="1"/>
      <c r="B84" s="6" t="s">
        <v>88</v>
      </c>
      <c r="C84" s="35"/>
      <c r="D84" s="35"/>
      <c r="E84" s="35"/>
      <c r="F84" s="35"/>
      <c r="G84" s="35"/>
      <c r="H84" s="1"/>
      <c r="I84" s="1"/>
      <c r="J84" s="1"/>
      <c r="K84" s="1"/>
      <c r="L84" s="1"/>
    </row>
    <row r="85">
      <c r="A85" s="1"/>
      <c r="B85" s="6" t="s">
        <v>89</v>
      </c>
      <c r="C85" s="35"/>
      <c r="D85" s="35"/>
      <c r="E85" s="35"/>
      <c r="F85" s="35"/>
      <c r="G85" s="35"/>
      <c r="H85" s="1"/>
      <c r="I85" s="1"/>
      <c r="J85" s="1"/>
      <c r="K85" s="1"/>
      <c r="L85" s="1"/>
    </row>
    <row r="86">
      <c r="A86" s="1"/>
      <c r="B86" s="6" t="s">
        <v>90</v>
      </c>
      <c r="C86" s="35"/>
      <c r="D86" s="35"/>
      <c r="E86" s="35"/>
      <c r="F86" s="35"/>
      <c r="G86" s="35"/>
      <c r="H86" s="1"/>
      <c r="I86" s="1"/>
      <c r="J86" s="1"/>
      <c r="K86" s="1"/>
      <c r="L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>
      <c r="A88" s="1"/>
      <c r="B88" s="3" t="s">
        <v>91</v>
      </c>
      <c r="H88" s="1"/>
      <c r="I88" s="1"/>
      <c r="J88" s="1"/>
      <c r="K88" s="1"/>
      <c r="L88" s="1"/>
    </row>
    <row r="89">
      <c r="A89" s="1"/>
      <c r="B89" s="1"/>
      <c r="C89" s="7" t="s">
        <v>92</v>
      </c>
      <c r="E89" s="1"/>
      <c r="F89" s="1"/>
      <c r="G89" s="1"/>
      <c r="H89" s="1"/>
      <c r="I89" s="1"/>
      <c r="J89" s="1"/>
      <c r="K89" s="1"/>
      <c r="L89" s="1"/>
    </row>
    <row r="90">
      <c r="A90" s="1"/>
      <c r="B90" s="4" t="s">
        <v>93</v>
      </c>
      <c r="C90" s="4" t="s">
        <v>94</v>
      </c>
      <c r="D90" s="5" t="s">
        <v>95</v>
      </c>
      <c r="E90" s="1"/>
      <c r="F90" s="1"/>
      <c r="G90" s="1"/>
      <c r="H90" s="1"/>
      <c r="I90" s="1"/>
      <c r="J90" s="1"/>
      <c r="K90" s="1"/>
      <c r="L90" s="1"/>
    </row>
    <row r="91">
      <c r="A91" s="1"/>
      <c r="B91" s="13">
        <v>0.0</v>
      </c>
      <c r="C91" s="6">
        <v>7.48</v>
      </c>
      <c r="D91" s="6">
        <v>5.74</v>
      </c>
      <c r="E91" s="1"/>
      <c r="F91" s="1"/>
      <c r="G91" s="1"/>
      <c r="H91" s="1"/>
      <c r="I91" s="1"/>
      <c r="J91" s="1"/>
      <c r="K91" s="1"/>
      <c r="L91" s="1"/>
    </row>
    <row r="92">
      <c r="A92" s="1"/>
      <c r="B92" s="13">
        <v>100.0</v>
      </c>
      <c r="C92" s="6">
        <v>6.22</v>
      </c>
      <c r="D92" s="6">
        <v>5.2</v>
      </c>
      <c r="E92" s="1"/>
      <c r="F92" s="1"/>
      <c r="G92" s="1"/>
      <c r="H92" s="1"/>
      <c r="I92" s="1"/>
      <c r="J92" s="1"/>
      <c r="K92" s="1"/>
      <c r="L92" s="1"/>
    </row>
    <row r="93">
      <c r="A93" s="1"/>
      <c r="B93" s="13">
        <v>200.0</v>
      </c>
      <c r="C93" s="6">
        <v>7.44</v>
      </c>
      <c r="D93" s="6">
        <v>5.14</v>
      </c>
      <c r="E93" s="1"/>
      <c r="F93" s="1"/>
      <c r="G93" s="1"/>
      <c r="H93" s="1"/>
      <c r="I93" s="1"/>
      <c r="J93" s="1"/>
      <c r="K93" s="1"/>
      <c r="L93" s="1"/>
    </row>
    <row r="94">
      <c r="A94" s="1"/>
      <c r="B94" s="13">
        <v>300.0</v>
      </c>
      <c r="C94" s="6">
        <v>6.72</v>
      </c>
      <c r="D94" s="6">
        <v>5.16</v>
      </c>
      <c r="E94" s="1"/>
      <c r="F94" s="1"/>
      <c r="G94" s="1"/>
      <c r="H94" s="1"/>
      <c r="I94" s="1"/>
      <c r="J94" s="1"/>
      <c r="K94" s="1"/>
      <c r="L94" s="1"/>
    </row>
    <row r="95">
      <c r="A95" s="1"/>
      <c r="B95" s="13">
        <v>400.0</v>
      </c>
      <c r="C95" s="6">
        <v>7.1</v>
      </c>
      <c r="D95" s="6">
        <v>5.08</v>
      </c>
      <c r="E95" s="1"/>
      <c r="F95" s="1"/>
      <c r="G95" s="1"/>
      <c r="H95" s="1"/>
      <c r="I95" s="1"/>
      <c r="J95" s="1"/>
      <c r="K95" s="1"/>
      <c r="L95" s="1"/>
    </row>
    <row r="96">
      <c r="A96" s="1"/>
      <c r="B96" s="13">
        <v>500.0</v>
      </c>
      <c r="C96" s="6">
        <v>6.95</v>
      </c>
      <c r="D96" s="6">
        <v>4.71</v>
      </c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>
      <c r="A99" s="1"/>
      <c r="B99" s="4" t="s">
        <v>2</v>
      </c>
      <c r="C99" s="4" t="s">
        <v>3</v>
      </c>
      <c r="D99" s="5" t="s">
        <v>4</v>
      </c>
      <c r="E99" s="4" t="s">
        <v>68</v>
      </c>
      <c r="F99" s="1"/>
      <c r="G99" s="1"/>
      <c r="H99" s="1"/>
      <c r="I99" s="1"/>
      <c r="J99" s="1"/>
      <c r="K99" s="1"/>
      <c r="L99" s="1"/>
    </row>
    <row r="100">
      <c r="A100" s="1"/>
      <c r="B100" s="6" t="s">
        <v>96</v>
      </c>
      <c r="C100" s="6">
        <v>2.0</v>
      </c>
      <c r="D100" s="6">
        <v>7.0</v>
      </c>
      <c r="E100" s="35"/>
      <c r="F100" s="1"/>
      <c r="G100" s="1"/>
      <c r="H100" s="1"/>
      <c r="I100" s="1"/>
      <c r="J100" s="1"/>
      <c r="K100" s="1"/>
      <c r="L100" s="1"/>
    </row>
    <row r="101">
      <c r="A101" s="1"/>
      <c r="B101" s="6" t="s">
        <v>97</v>
      </c>
      <c r="C101" s="6" t="s">
        <v>98</v>
      </c>
      <c r="D101" s="6" t="s">
        <v>99</v>
      </c>
      <c r="E101" s="32" t="s">
        <v>100</v>
      </c>
      <c r="F101" s="36"/>
      <c r="G101" s="33"/>
      <c r="H101" s="34"/>
      <c r="I101" s="1"/>
      <c r="J101" s="1"/>
      <c r="K101" s="1"/>
      <c r="L101" s="1"/>
    </row>
    <row r="102">
      <c r="A102" s="1"/>
      <c r="B102" s="6" t="s">
        <v>101</v>
      </c>
      <c r="C102" s="6">
        <v>54.67</v>
      </c>
      <c r="D102" s="37">
        <v>52.91</v>
      </c>
      <c r="E102" s="35"/>
      <c r="F102" s="1"/>
      <c r="G102" s="1"/>
      <c r="H102" s="1"/>
      <c r="I102" s="1"/>
      <c r="J102" s="1"/>
      <c r="K102" s="1"/>
      <c r="L102" s="1"/>
    </row>
    <row r="103">
      <c r="A103" s="1"/>
      <c r="B103" s="6" t="s">
        <v>102</v>
      </c>
      <c r="C103" s="6">
        <v>1.53</v>
      </c>
      <c r="D103" s="6">
        <v>1.48</v>
      </c>
      <c r="E103" s="6" t="s">
        <v>103</v>
      </c>
      <c r="F103" s="1"/>
      <c r="G103" s="1"/>
      <c r="H103" s="1"/>
      <c r="I103" s="1"/>
      <c r="J103" s="1"/>
      <c r="K103" s="1"/>
      <c r="L103" s="1"/>
    </row>
    <row r="104">
      <c r="A104" s="1"/>
      <c r="B104" s="6" t="s">
        <v>104</v>
      </c>
      <c r="C104" s="6" t="s">
        <v>105</v>
      </c>
      <c r="D104" s="6" t="s">
        <v>106</v>
      </c>
      <c r="E104" s="6" t="s">
        <v>107</v>
      </c>
      <c r="F104" s="1"/>
      <c r="G104" s="1"/>
      <c r="H104" s="1"/>
      <c r="I104" s="1"/>
      <c r="J104" s="1"/>
      <c r="K104" s="1"/>
      <c r="L104" s="1"/>
    </row>
    <row r="105">
      <c r="A105" s="1"/>
      <c r="B105" s="38" t="s">
        <v>108</v>
      </c>
      <c r="C105" s="38" t="s">
        <v>109</v>
      </c>
      <c r="D105" s="38" t="s">
        <v>110</v>
      </c>
      <c r="E105" s="39"/>
      <c r="F105" s="1"/>
      <c r="G105" s="1"/>
      <c r="H105" s="1"/>
      <c r="I105" s="1"/>
      <c r="J105" s="1"/>
      <c r="K105" s="1"/>
      <c r="L105" s="1"/>
    </row>
    <row r="106">
      <c r="A106" s="1"/>
      <c r="B106" s="14" t="s">
        <v>111</v>
      </c>
      <c r="C106" s="27"/>
      <c r="D106" s="27"/>
      <c r="E106" s="27"/>
      <c r="F106" s="1"/>
      <c r="G106" s="1"/>
      <c r="H106" s="1"/>
      <c r="I106" s="1"/>
      <c r="J106" s="1"/>
      <c r="K106" s="1"/>
      <c r="L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>
      <c r="A108" s="1"/>
      <c r="B108" s="3" t="s">
        <v>112</v>
      </c>
      <c r="I108" s="1"/>
      <c r="J108" s="1"/>
      <c r="K108" s="1"/>
      <c r="L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>
      <c r="A110" s="1"/>
      <c r="B110" s="4" t="s">
        <v>113</v>
      </c>
      <c r="C110" s="4" t="s">
        <v>45</v>
      </c>
      <c r="D110" s="4" t="s">
        <v>114</v>
      </c>
      <c r="E110" s="4" t="s">
        <v>57</v>
      </c>
      <c r="F110" s="4" t="s">
        <v>115</v>
      </c>
      <c r="G110" s="4" t="s">
        <v>116</v>
      </c>
      <c r="H110" s="4" t="s">
        <v>60</v>
      </c>
      <c r="I110" s="1"/>
      <c r="J110" s="1"/>
      <c r="K110" s="1"/>
      <c r="L110" s="1"/>
    </row>
    <row r="111">
      <c r="A111" s="1"/>
      <c r="B111" s="40" t="s">
        <v>117</v>
      </c>
      <c r="C111" s="41">
        <v>1.0</v>
      </c>
      <c r="D111" s="42">
        <v>22.13</v>
      </c>
      <c r="E111" s="40">
        <v>0.458</v>
      </c>
      <c r="F111" s="40">
        <v>5.155</v>
      </c>
      <c r="G111" s="43">
        <f t="shared" ref="G111:G125" si="9">E111*F111</f>
        <v>2.36099</v>
      </c>
      <c r="H111" s="43">
        <f t="shared" ref="H111:H125" si="10">IFERROR(D111/G111, 0)</f>
        <v>9.373186672</v>
      </c>
      <c r="I111" s="1"/>
      <c r="J111" s="1"/>
      <c r="K111" s="1"/>
      <c r="L111" s="1"/>
    </row>
    <row r="112">
      <c r="A112" s="1"/>
      <c r="B112" s="40" t="s">
        <v>117</v>
      </c>
      <c r="C112" s="41">
        <v>2.0</v>
      </c>
      <c r="D112" s="42">
        <v>21.53</v>
      </c>
      <c r="E112" s="40">
        <v>0.462</v>
      </c>
      <c r="F112" s="40">
        <v>5.098</v>
      </c>
      <c r="G112" s="43">
        <f t="shared" si="9"/>
        <v>2.355276</v>
      </c>
      <c r="H112" s="43">
        <f t="shared" si="10"/>
        <v>9.141179208</v>
      </c>
      <c r="I112" s="1"/>
      <c r="J112" s="1"/>
      <c r="K112" s="1"/>
      <c r="L112" s="1"/>
    </row>
    <row r="113">
      <c r="A113" s="1"/>
      <c r="B113" s="40" t="s">
        <v>117</v>
      </c>
      <c r="C113" s="41">
        <v>3.0</v>
      </c>
      <c r="D113" s="42">
        <v>21.26</v>
      </c>
      <c r="E113" s="40">
        <v>0.458</v>
      </c>
      <c r="F113" s="40">
        <v>5.147</v>
      </c>
      <c r="G113" s="43">
        <f t="shared" si="9"/>
        <v>2.357326</v>
      </c>
      <c r="H113" s="43">
        <f t="shared" si="10"/>
        <v>9.018693214</v>
      </c>
      <c r="I113" s="1"/>
      <c r="J113" s="1"/>
      <c r="K113" s="1"/>
      <c r="L113" s="1"/>
    </row>
    <row r="114">
      <c r="A114" s="1"/>
      <c r="B114" s="40" t="s">
        <v>117</v>
      </c>
      <c r="C114" s="41">
        <v>4.0</v>
      </c>
      <c r="D114" s="42">
        <v>21.21</v>
      </c>
      <c r="E114" s="40">
        <v>0.458</v>
      </c>
      <c r="F114" s="40">
        <v>5.138</v>
      </c>
      <c r="G114" s="43">
        <f t="shared" si="9"/>
        <v>2.353204</v>
      </c>
      <c r="H114" s="43">
        <f t="shared" si="10"/>
        <v>9.013243221</v>
      </c>
      <c r="I114" s="1"/>
      <c r="J114" s="1"/>
      <c r="K114" s="1"/>
      <c r="L114" s="1"/>
    </row>
    <row r="115">
      <c r="A115" s="1"/>
      <c r="B115" s="40" t="s">
        <v>117</v>
      </c>
      <c r="C115" s="41">
        <v>5.0</v>
      </c>
      <c r="D115" s="42">
        <v>21.3</v>
      </c>
      <c r="E115" s="40">
        <v>0.455</v>
      </c>
      <c r="F115" s="40">
        <v>5.138</v>
      </c>
      <c r="G115" s="43">
        <f t="shared" si="9"/>
        <v>2.33779</v>
      </c>
      <c r="H115" s="43">
        <f t="shared" si="10"/>
        <v>9.111169096</v>
      </c>
      <c r="I115" s="1"/>
      <c r="J115" s="1"/>
      <c r="K115" s="1"/>
      <c r="L115" s="1"/>
    </row>
    <row r="116">
      <c r="A116" s="1"/>
      <c r="B116" s="44" t="s">
        <v>118</v>
      </c>
      <c r="C116" s="45">
        <v>1.0</v>
      </c>
      <c r="D116" s="46">
        <v>27.49</v>
      </c>
      <c r="E116" s="44">
        <v>0.455</v>
      </c>
      <c r="F116" s="44">
        <v>5.122</v>
      </c>
      <c r="G116" s="47">
        <f t="shared" si="9"/>
        <v>2.33051</v>
      </c>
      <c r="H116" s="47">
        <f t="shared" si="10"/>
        <v>11.79570137</v>
      </c>
      <c r="I116" s="1"/>
      <c r="J116" s="1"/>
      <c r="K116" s="1"/>
      <c r="L116" s="1"/>
    </row>
    <row r="117">
      <c r="A117" s="1"/>
      <c r="B117" s="44" t="s">
        <v>118</v>
      </c>
      <c r="C117" s="45">
        <v>2.0</v>
      </c>
      <c r="D117" s="46">
        <v>26.77</v>
      </c>
      <c r="E117" s="44">
        <v>0.455</v>
      </c>
      <c r="F117" s="44">
        <v>5.138</v>
      </c>
      <c r="G117" s="47">
        <f t="shared" si="9"/>
        <v>2.33779</v>
      </c>
      <c r="H117" s="47">
        <f t="shared" si="10"/>
        <v>11.45098576</v>
      </c>
      <c r="I117" s="1"/>
      <c r="J117" s="1"/>
      <c r="K117" s="1"/>
      <c r="L117" s="1"/>
    </row>
    <row r="118">
      <c r="A118" s="1"/>
      <c r="B118" s="44" t="s">
        <v>118</v>
      </c>
      <c r="C118" s="45">
        <v>3.0</v>
      </c>
      <c r="D118" s="46">
        <v>26.68</v>
      </c>
      <c r="E118" s="44">
        <v>0.455</v>
      </c>
      <c r="F118" s="44">
        <v>5.147</v>
      </c>
      <c r="G118" s="47">
        <f t="shared" si="9"/>
        <v>2.341885</v>
      </c>
      <c r="H118" s="47">
        <f t="shared" si="10"/>
        <v>11.39253208</v>
      </c>
      <c r="I118" s="1"/>
      <c r="J118" s="1"/>
      <c r="K118" s="1"/>
      <c r="L118" s="1"/>
    </row>
    <row r="119">
      <c r="A119" s="1"/>
      <c r="B119" s="44" t="s">
        <v>118</v>
      </c>
      <c r="C119" s="45">
        <v>4.0</v>
      </c>
      <c r="D119" s="46">
        <v>25.38</v>
      </c>
      <c r="E119" s="44">
        <v>0.447</v>
      </c>
      <c r="F119" s="44">
        <v>5.13</v>
      </c>
      <c r="G119" s="47">
        <f t="shared" si="9"/>
        <v>2.29311</v>
      </c>
      <c r="H119" s="47">
        <f t="shared" si="10"/>
        <v>11.0679383</v>
      </c>
      <c r="I119" s="1"/>
      <c r="J119" s="1"/>
      <c r="K119" s="1"/>
      <c r="L119" s="1"/>
    </row>
    <row r="120">
      <c r="A120" s="1"/>
      <c r="B120" s="44" t="s">
        <v>118</v>
      </c>
      <c r="C120" s="45">
        <v>5.0</v>
      </c>
      <c r="D120" s="46">
        <v>25.77</v>
      </c>
      <c r="E120" s="44">
        <v>0.451</v>
      </c>
      <c r="F120" s="44">
        <v>5.138</v>
      </c>
      <c r="G120" s="47">
        <f t="shared" si="9"/>
        <v>2.317238</v>
      </c>
      <c r="H120" s="47">
        <f t="shared" si="10"/>
        <v>11.12099836</v>
      </c>
      <c r="I120" s="1"/>
      <c r="J120" s="1"/>
      <c r="K120" s="1"/>
      <c r="L120" s="1"/>
    </row>
    <row r="121">
      <c r="A121" s="1"/>
      <c r="B121" s="48" t="s">
        <v>119</v>
      </c>
      <c r="C121" s="49">
        <v>1.0</v>
      </c>
      <c r="D121" s="50">
        <v>25.79</v>
      </c>
      <c r="E121" s="48">
        <v>0.458</v>
      </c>
      <c r="F121" s="48">
        <v>5.13</v>
      </c>
      <c r="G121" s="51">
        <f t="shared" si="9"/>
        <v>2.34954</v>
      </c>
      <c r="H121" s="51">
        <f t="shared" si="10"/>
        <v>10.9766167</v>
      </c>
      <c r="I121" s="1"/>
      <c r="J121" s="1"/>
      <c r="K121" s="1"/>
      <c r="L121" s="1"/>
    </row>
    <row r="122">
      <c r="A122" s="1"/>
      <c r="B122" s="48" t="s">
        <v>119</v>
      </c>
      <c r="C122" s="49">
        <v>2.0</v>
      </c>
      <c r="D122" s="50">
        <v>23.58</v>
      </c>
      <c r="E122" s="48">
        <v>0.455</v>
      </c>
      <c r="F122" s="48">
        <v>5.138</v>
      </c>
      <c r="G122" s="51">
        <f t="shared" si="9"/>
        <v>2.33779</v>
      </c>
      <c r="H122" s="51">
        <f t="shared" si="10"/>
        <v>10.08644917</v>
      </c>
      <c r="I122" s="1"/>
      <c r="J122" s="1"/>
      <c r="K122" s="1"/>
      <c r="L122" s="1"/>
    </row>
    <row r="123">
      <c r="A123" s="1"/>
      <c r="B123" s="48" t="s">
        <v>119</v>
      </c>
      <c r="C123" s="49">
        <v>3.0</v>
      </c>
      <c r="D123" s="50">
        <v>25.71</v>
      </c>
      <c r="E123" s="48">
        <v>0.451</v>
      </c>
      <c r="F123" s="48">
        <v>5.138</v>
      </c>
      <c r="G123" s="51">
        <f t="shared" si="9"/>
        <v>2.317238</v>
      </c>
      <c r="H123" s="51">
        <f t="shared" si="10"/>
        <v>11.09510547</v>
      </c>
      <c r="I123" s="1"/>
      <c r="J123" s="1"/>
      <c r="K123" s="1"/>
      <c r="L123" s="1"/>
    </row>
    <row r="124">
      <c r="A124" s="1"/>
      <c r="B124" s="48" t="s">
        <v>119</v>
      </c>
      <c r="C124" s="49">
        <v>4.0</v>
      </c>
      <c r="D124" s="50">
        <v>25.62</v>
      </c>
      <c r="E124" s="48">
        <v>0.458</v>
      </c>
      <c r="F124" s="48">
        <v>5.122</v>
      </c>
      <c r="G124" s="51">
        <f t="shared" si="9"/>
        <v>2.345876</v>
      </c>
      <c r="H124" s="51">
        <f t="shared" si="10"/>
        <v>10.92129337</v>
      </c>
      <c r="I124" s="1"/>
      <c r="J124" s="1"/>
      <c r="K124" s="1"/>
      <c r="L124" s="1"/>
    </row>
    <row r="125">
      <c r="A125" s="1"/>
      <c r="B125" s="48" t="s">
        <v>119</v>
      </c>
      <c r="C125" s="49">
        <v>5.0</v>
      </c>
      <c r="D125" s="50">
        <v>25.71</v>
      </c>
      <c r="E125" s="48">
        <v>0.455</v>
      </c>
      <c r="F125" s="48">
        <v>5.138</v>
      </c>
      <c r="G125" s="51">
        <f t="shared" si="9"/>
        <v>2.33779</v>
      </c>
      <c r="H125" s="51">
        <f t="shared" si="10"/>
        <v>10.99756608</v>
      </c>
      <c r="I125" s="1"/>
      <c r="J125" s="1"/>
      <c r="K125" s="1"/>
      <c r="L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1"/>
      <c r="B128" s="44" t="s">
        <v>120</v>
      </c>
      <c r="C128" s="45">
        <v>1.0</v>
      </c>
      <c r="D128" s="46">
        <v>33.23</v>
      </c>
      <c r="E128" s="44">
        <v>0.431</v>
      </c>
      <c r="F128" s="44">
        <v>5.138</v>
      </c>
      <c r="G128" s="47">
        <f t="shared" ref="G128:G132" si="11">E128*F128</f>
        <v>2.214478</v>
      </c>
      <c r="H128" s="47">
        <f t="shared" ref="H128:H132" si="12">IFERROR(D128/G128, 0)</f>
        <v>15.00579369</v>
      </c>
      <c r="I128" s="1"/>
      <c r="J128" s="1"/>
      <c r="K128" s="1"/>
      <c r="L128" s="1"/>
    </row>
    <row r="129">
      <c r="A129" s="1"/>
      <c r="B129" s="44" t="s">
        <v>120</v>
      </c>
      <c r="C129" s="45">
        <v>2.0</v>
      </c>
      <c r="D129" s="46">
        <v>31.86</v>
      </c>
      <c r="E129" s="44">
        <v>0.435</v>
      </c>
      <c r="F129" s="44">
        <v>5.138</v>
      </c>
      <c r="G129" s="47">
        <f t="shared" si="11"/>
        <v>2.23503</v>
      </c>
      <c r="H129" s="47">
        <f t="shared" si="12"/>
        <v>14.25484222</v>
      </c>
      <c r="I129" s="1"/>
      <c r="J129" s="1"/>
      <c r="K129" s="1"/>
      <c r="L129" s="1"/>
    </row>
    <row r="130">
      <c r="A130" s="1"/>
      <c r="B130" s="44" t="s">
        <v>120</v>
      </c>
      <c r="C130" s="45">
        <v>3.0</v>
      </c>
      <c r="D130" s="46">
        <v>31.96</v>
      </c>
      <c r="E130" s="44">
        <v>0.431</v>
      </c>
      <c r="F130" s="44">
        <v>5.163</v>
      </c>
      <c r="G130" s="47">
        <f t="shared" si="11"/>
        <v>2.225253</v>
      </c>
      <c r="H130" s="47">
        <f t="shared" si="12"/>
        <v>14.36241182</v>
      </c>
      <c r="I130" s="1"/>
      <c r="J130" s="1"/>
      <c r="K130" s="1"/>
      <c r="L130" s="1"/>
    </row>
    <row r="131">
      <c r="A131" s="1"/>
      <c r="B131" s="44" t="s">
        <v>120</v>
      </c>
      <c r="C131" s="45">
        <v>4.0</v>
      </c>
      <c r="D131" s="46">
        <v>32.51</v>
      </c>
      <c r="E131" s="44">
        <v>0.415</v>
      </c>
      <c r="F131" s="44">
        <v>5.155</v>
      </c>
      <c r="G131" s="47">
        <f t="shared" si="11"/>
        <v>2.139325</v>
      </c>
      <c r="H131" s="47">
        <f t="shared" si="12"/>
        <v>15.19638204</v>
      </c>
      <c r="I131" s="1"/>
      <c r="J131" s="1"/>
      <c r="K131" s="1"/>
      <c r="L131" s="1"/>
    </row>
    <row r="132">
      <c r="A132" s="1"/>
      <c r="B132" s="44" t="s">
        <v>120</v>
      </c>
      <c r="C132" s="45">
        <v>5.0</v>
      </c>
      <c r="D132" s="46">
        <v>26.66</v>
      </c>
      <c r="E132" s="44">
        <v>0.439</v>
      </c>
      <c r="F132" s="44">
        <v>5.163</v>
      </c>
      <c r="G132" s="47">
        <f t="shared" si="11"/>
        <v>2.266557</v>
      </c>
      <c r="H132" s="47">
        <f t="shared" si="12"/>
        <v>11.7623338</v>
      </c>
      <c r="I132" s="1"/>
      <c r="J132" s="1"/>
      <c r="K132" s="1"/>
      <c r="L132" s="1"/>
    </row>
  </sheetData>
  <mergeCells count="15">
    <mergeCell ref="B50:E50"/>
    <mergeCell ref="B57:G57"/>
    <mergeCell ref="B72:G72"/>
    <mergeCell ref="B79:G79"/>
    <mergeCell ref="B88:G88"/>
    <mergeCell ref="C89:D89"/>
    <mergeCell ref="E101:F101"/>
    <mergeCell ref="B108:H108"/>
    <mergeCell ref="B1:H1"/>
    <mergeCell ref="B3:H3"/>
    <mergeCell ref="B9:E9"/>
    <mergeCell ref="B10:F10"/>
    <mergeCell ref="H10:L10"/>
    <mergeCell ref="B24:F24"/>
    <mergeCell ref="H24:L24"/>
  </mergeCells>
  <drawing r:id="rId1"/>
</worksheet>
</file>
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tocol V3" sheetId="1" r:id="rId5"/>
  </sheets>
  <definedNames/>
  <calcPr/>
</workbook>
</file>

<file path=xl/sharedStrings.xml><?xml version="1.0" encoding="utf-8"?>
<sst xmlns="http://schemas.openxmlformats.org/spreadsheetml/2006/main" count="337" uniqueCount="231">
  <si>
    <t>Protocol Assessment: Compliant vs Rack&amp;Pinion</t>
  </si>
  <si>
    <t>TEST 1: KINEMATIC CHARACTERIZATION &amp; EFFECTIVE COMPLIANCE</t>
  </si>
  <si>
    <t>Metric</t>
  </si>
  <si>
    <t>Compliant Gripper</t>
  </si>
  <si>
    <t>Rack&amp;Pinion Gripper</t>
  </si>
  <si>
    <t>Measurement Method</t>
  </si>
  <si>
    <t>Maximum opening (mm)</t>
  </si>
  <si>
    <t>73.60+-1.39</t>
  </si>
  <si>
    <t>144.12+-1.49</t>
  </si>
  <si>
    <t>OptiTrack</t>
  </si>
  <si>
    <t>Minimum closing (mm)</t>
  </si>
  <si>
    <t>0 (mix point)</t>
  </si>
  <si>
    <t>Opening time no-load (s)</t>
  </si>
  <si>
    <t>Stopwatch</t>
  </si>
  <si>
    <t>1. CLOSING Phase - R&amp;P</t>
  </si>
  <si>
    <t>1. CLOSING Phase - Compliant</t>
  </si>
  <si>
    <t>Command (%)</t>
  </si>
  <si>
    <t>Trial 1</t>
  </si>
  <si>
    <t>Trial 2</t>
  </si>
  <si>
    <t>Trial 3</t>
  </si>
  <si>
    <t>Average (mm)</t>
  </si>
  <si>
    <t>2. OPENING Phase - R&amp;P</t>
  </si>
  <si>
    <t>2. OPENING Phase - Compliant</t>
  </si>
  <si>
    <t>Applied Force (N)</t>
  </si>
  <si>
    <t>Deflection R&amp;P T1 (mm) [OptiTrack]</t>
  </si>
  <si>
    <t>Deflection R&amp;P T2 (mm) [OptiTrack]</t>
  </si>
  <si>
    <t>Deflection R&amp;P T3 (mm) [OptiTrack]</t>
  </si>
  <si>
    <t>Average Deflection R&amp;P (mm)</t>
  </si>
  <si>
    <t>Calculated Stiffness krp (N/mm)</t>
  </si>
  <si>
    <t>Deflection Compliant T1 (mm) [OptiTrack]</t>
  </si>
  <si>
    <t>Deflection Compliant T2 (mm) [OptiTrack]</t>
  </si>
  <si>
    <t>Deflection Compliant T3 (mm) [OptiTrack]</t>
  </si>
  <si>
    <t>Average Deflection Compliant (mm)</t>
  </si>
  <si>
    <t>Calculated Stiffness kc (N/mm)</t>
  </si>
  <si>
    <t>-</t>
  </si>
  <si>
    <t>MAX</t>
  </si>
  <si>
    <t>2,53 (7,16N)</t>
  </si>
  <si>
    <t>1,37 (6,67N)</t>
  </si>
  <si>
    <t>1,73 (6,95N)</t>
  </si>
  <si>
    <t>1,89 (6,93N)</t>
  </si>
  <si>
    <t>6,59 (14,65N)</t>
  </si>
  <si>
    <t>7,87 (19,26N)</t>
  </si>
  <si>
    <t>7,15 (18,90N)</t>
  </si>
  <si>
    <t>7,20 (17,60N)</t>
  </si>
  <si>
    <t>MAXIMUM HORIZONTAL FORCE</t>
  </si>
  <si>
    <t>Trial</t>
  </si>
  <si>
    <t>Max Pinch Force (N) - R&amp;P</t>
  </si>
  <si>
    <t>Max Pinch Force (N) - Compliant</t>
  </si>
  <si>
    <t>Ratio Compliant / R&amp;P</t>
  </si>
  <si>
    <t>2,05x</t>
  </si>
  <si>
    <t>2,89x</t>
  </si>
  <si>
    <t>2,72x</t>
  </si>
  <si>
    <t>Average</t>
  </si>
  <si>
    <t>2,54x</t>
  </si>
  <si>
    <t>TEST 2: ACTUATION EFFICIENCY &amp; DYNAMIC GRASPING</t>
  </si>
  <si>
    <t>R&amp;P</t>
  </si>
  <si>
    <t>Max Hold Force (N)</t>
  </si>
  <si>
    <t>Peak Current (A)</t>
  </si>
  <si>
    <t>Holding Current (A)</t>
  </si>
  <si>
    <t>Holding Power (W)</t>
  </si>
  <si>
    <t>Efficiency (N/W)</t>
  </si>
  <si>
    <t>Compliant</t>
  </si>
  <si>
    <t>R&amp;P (3,50N)  Compliant (9,12N)</t>
  </si>
  <si>
    <t>R&amp;P (0.372A)  Compliant (0.365A)</t>
  </si>
  <si>
    <t>R&amp;P (0.368A)  Compliant (0.362A)</t>
  </si>
  <si>
    <t>R&amp;P (1,838W)  Compliant (1,810W)</t>
  </si>
  <si>
    <t>R&amp;P (1,90N/W)  Compliant (5,04N/W)</t>
  </si>
  <si>
    <t>TEST 3: ZERO-ENERGY HOLD (PASSIVE LOCKING)</t>
  </si>
  <si>
    <t>Notes</t>
  </si>
  <si>
    <t>Max pull-out force (N)</t>
  </si>
  <si>
    <t>C: 3/4/6/4/5N R: 3/4/4/3/3/3</t>
  </si>
  <si>
    <t>C:1/2/3/3/3N R:3/2/3/3/1</t>
  </si>
  <si>
    <t>big cylinder/cube 30x30cm</t>
  </si>
  <si>
    <t>Peak current at unlocking (mA)</t>
  </si>
  <si>
    <t>176/184/165/172/201mA</t>
  </si>
  <si>
    <t>235/133/200/168/198mA (lot of friction)</t>
  </si>
  <si>
    <t>Failure Mode</t>
  </si>
  <si>
    <t>Slip but also finger deformation (back-driving)</t>
  </si>
  <si>
    <t xml:space="preserve">Slip </t>
  </si>
  <si>
    <t>no adhrence without pads</t>
  </si>
  <si>
    <t>TEST 4: DURABILITY (FATIGUE) &amp; DFMA EVALUATION</t>
  </si>
  <si>
    <t>MAX VERTICALLY FORCE</t>
  </si>
  <si>
    <t>Cycle No,</t>
  </si>
  <si>
    <t>Max Force (N) Compliant</t>
  </si>
  <si>
    <t>Max Force (N) R&amp;P</t>
  </si>
  <si>
    <t>Number of 3D printed parts</t>
  </si>
  <si>
    <t>Total printing time (min)</t>
  </si>
  <si>
    <t>2h12</t>
  </si>
  <si>
    <t>3h15m48s</t>
  </si>
  <si>
    <t>Normal mode with : 15% Infill + Brim 5mm &amp; Supports : for support enforcers only</t>
  </si>
  <si>
    <t>Mass of material used (g)</t>
  </si>
  <si>
    <t>Printing cost (€)</t>
  </si>
  <si>
    <t>(27,99/kg)</t>
  </si>
  <si>
    <t>Non-printed hardware (BOM)</t>
  </si>
  <si>
    <t>4x(M4x16 &amp; M4 Nuts)</t>
  </si>
  <si>
    <t>2x(M6x40 Screw &amp; M6 Nuts) + 4x(M4x16 &amp; M4 Nuts)</t>
  </si>
  <si>
    <t>&amp; 4 Screw for servo</t>
  </si>
  <si>
    <t>Assembly time (min)</t>
  </si>
  <si>
    <t>2m47</t>
  </si>
  <si>
    <t>5m31</t>
  </si>
  <si>
    <t>Weight (g)</t>
  </si>
  <si>
    <t>50.59 (2 pieces)</t>
  </si>
  <si>
    <t xml:space="preserve">68.98 (7 pieces+2*M6x40+nuts) </t>
  </si>
  <si>
    <t>TEST A: COMPLIANT OPTIMIZATION</t>
  </si>
  <si>
    <t>Gripper ID</t>
  </si>
  <si>
    <t>Max Force (N)</t>
  </si>
  <si>
    <t>Peak Voltage (V)</t>
  </si>
  <si>
    <t>Power (W)</t>
  </si>
  <si>
    <t>Gripper 1</t>
  </si>
  <si>
    <t>Gripper 2</t>
  </si>
  <si>
    <t>Gripper 3</t>
  </si>
  <si>
    <t>Gripper 2 with metal screw</t>
  </si>
  <si>
    <t xml:space="preserve">New design with metal screw </t>
  </si>
  <si>
    <t>New design with metal screw</t>
  </si>
  <si>
    <t>TEST +: TASK-LEVEL GRASPING BENCHMARK</t>
  </si>
  <si>
    <t>Object Type</t>
  </si>
  <si>
    <t>Success (%) Compliant</t>
  </si>
  <si>
    <t>Damage Compliant (Y/N)</t>
  </si>
  <si>
    <t>Hard (Cube)</t>
  </si>
  <si>
    <t>N</t>
  </si>
  <si>
    <t>Hard (Screwdriver)</t>
  </si>
  <si>
    <t>Hard (Eraser)</t>
  </si>
  <si>
    <t>Fragile (Plastic cup)</t>
  </si>
  <si>
    <t>Fragile (Sponge)</t>
  </si>
  <si>
    <t>Fragile (Blu-tack)</t>
  </si>
  <si>
    <t>TEST  E-TEXTILES</t>
  </si>
  <si>
    <t>TEST A Characterization</t>
  </si>
  <si>
    <t>Sample</t>
  </si>
  <si>
    <t>Distance Step 0 (cm)</t>
  </si>
  <si>
    <t>Distance Last Step (cm)</t>
  </si>
  <si>
    <t>TEST B</t>
  </si>
  <si>
    <t>Dwell Time 5s</t>
  </si>
  <si>
    <t>Sample \ Distance</t>
  </si>
  <si>
    <t>Step 0 (cm)</t>
  </si>
  <si>
    <t>Initial 1.5 N (cm)</t>
  </si>
  <si>
    <t>Cycle 1:  4.5 N / 1.5 N (cm)</t>
  </si>
  <si>
    <t>Cycle 5:  4.5 N / 1.5 N (cm)</t>
  </si>
  <si>
    <t>Cycle 10:  4.5 N / 1.5 N (cm)</t>
  </si>
  <si>
    <t>Cycle 15:  4.5 N / 1.5 N (cm)</t>
  </si>
  <si>
    <t>Cycle 20:  4.5 N / 1.5 N (cm)</t>
  </si>
  <si>
    <t>5,5/5,374</t>
  </si>
  <si>
    <t>5,46/5,32</t>
  </si>
  <si>
    <t>5,5/5,33</t>
  </si>
  <si>
    <t>5,52/5,39</t>
  </si>
  <si>
    <t>5,51/5,33</t>
  </si>
  <si>
    <t>5,56/5,39</t>
  </si>
  <si>
    <t>5,57/5,44</t>
  </si>
  <si>
    <t>5,59/5,44</t>
  </si>
  <si>
    <t>5,6/5,47</t>
  </si>
  <si>
    <t>5,64/5,48</t>
  </si>
  <si>
    <t>5,48/5,324</t>
  </si>
  <si>
    <t>5,5/5,38</t>
  </si>
  <si>
    <t>5,54/5,354</t>
  </si>
  <si>
    <t>5,55/5,4</t>
  </si>
  <si>
    <t>5,6/5,42</t>
  </si>
  <si>
    <t>5,43/5,342</t>
  </si>
  <si>
    <t>5,472/5,354</t>
  </si>
  <si>
    <t>5,51/5,378</t>
  </si>
  <si>
    <t>5,52/5,342</t>
  </si>
  <si>
    <t>5,5/5,4</t>
  </si>
  <si>
    <t>5,56/5,42</t>
  </si>
  <si>
    <t>5,58/5,45</t>
  </si>
  <si>
    <t>5,58/5,464</t>
  </si>
  <si>
    <t>5,59/5,478</t>
  </si>
  <si>
    <t>5,55/5,38</t>
  </si>
  <si>
    <t>5,57/5,4</t>
  </si>
  <si>
    <t>5,57/5,41</t>
  </si>
  <si>
    <t>5,58/5,42</t>
  </si>
  <si>
    <t>5,66/5,5</t>
  </si>
  <si>
    <t>5,65/5,55</t>
  </si>
  <si>
    <t>5,68/5,53</t>
  </si>
  <si>
    <t>5,69/5,57</t>
  </si>
  <si>
    <t>5,696/5,58</t>
  </si>
  <si>
    <t>Dwell Time 10s</t>
  </si>
  <si>
    <t>5,55/5,43</t>
  </si>
  <si>
    <t>5,6/5,48</t>
  </si>
  <si>
    <t>5,62/5,5</t>
  </si>
  <si>
    <t>5,63/5,52</t>
  </si>
  <si>
    <t>5,636/5,52</t>
  </si>
  <si>
    <t>5,55/5,36</t>
  </si>
  <si>
    <t>5,57/5,43</t>
  </si>
  <si>
    <t>5,6/5,46</t>
  </si>
  <si>
    <t>5,422/5,26</t>
  </si>
  <si>
    <t>5,47/5,3</t>
  </si>
  <si>
    <t>5,48/5,34</t>
  </si>
  <si>
    <t>5,482/5,32</t>
  </si>
  <si>
    <t>5,5/5,34</t>
  </si>
  <si>
    <t>5,39/5,26</t>
  </si>
  <si>
    <t>5,42/5,28</t>
  </si>
  <si>
    <t>5,47/5,32</t>
  </si>
  <si>
    <t>5,45/5,324</t>
  </si>
  <si>
    <t>5,48/5,33</t>
  </si>
  <si>
    <t>5,5/5,35</t>
  </si>
  <si>
    <t>5,52/5,452</t>
  </si>
  <si>
    <t>5,56/5,45</t>
  </si>
  <si>
    <t>5,552/5,448</t>
  </si>
  <si>
    <t>5,57/5,452</t>
  </si>
  <si>
    <t>5,48/5,392</t>
  </si>
  <si>
    <t>5,56/5,43</t>
  </si>
  <si>
    <t>5,57/5,45</t>
  </si>
  <si>
    <t>5,51/5,364</t>
  </si>
  <si>
    <t>5,516/5,354</t>
  </si>
  <si>
    <t>5,542/5,4</t>
  </si>
  <si>
    <t>Dwell Time 30s</t>
  </si>
  <si>
    <t>5,52/5,4</t>
  </si>
  <si>
    <t>5,564/5,43</t>
  </si>
  <si>
    <t>5,582/5,47</t>
  </si>
  <si>
    <t>5,59/5,476</t>
  </si>
  <si>
    <t>5,47/5,39</t>
  </si>
  <si>
    <t>5,526/5,4</t>
  </si>
  <si>
    <t>5,626/5,5</t>
  </si>
  <si>
    <t>5,63/5,53</t>
  </si>
  <si>
    <t>5,66/5,534</t>
  </si>
  <si>
    <t>5,68/5,534</t>
  </si>
  <si>
    <t>5,55/5,384</t>
  </si>
  <si>
    <t>5,576/5,42</t>
  </si>
  <si>
    <t>5,58/5,426</t>
  </si>
  <si>
    <t>5,59/5,43</t>
  </si>
  <si>
    <t>5,49/5,37</t>
  </si>
  <si>
    <t>5,53/5,392</t>
  </si>
  <si>
    <t>5,534/5,41</t>
  </si>
  <si>
    <t>5,54/5,416</t>
  </si>
  <si>
    <t>5,55/5,418</t>
  </si>
  <si>
    <t>5,55/5,39</t>
  </si>
  <si>
    <t>5,572/5,44</t>
  </si>
  <si>
    <t>5,578/5,448</t>
  </si>
  <si>
    <t>5,536/5,342</t>
  </si>
  <si>
    <t>5,542/5,368</t>
  </si>
  <si>
    <t>5,56/5,37</t>
  </si>
  <si>
    <t>5,566/5,4</t>
  </si>
  <si>
    <t>5,564/5,4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</si>
</sst>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rgb="FF1A1B1F"/>
      <name val="Roboto"/>
    </font>
    <font>
      <b/>
      <sz val="16.0"/>
      <color rgb="FF435E91"/>
      <name val="Roboto"/>
    </font>
    <font>
      <b/>
      <color rgb="FFFFFFFF"/>
      <name val="Roboto"/>
    </font>
    <font>
      <b/>
      <color rgb="FF1A1B1F"/>
      <name val="Roboto"/>
    </font>
    <font/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435E91"/>
        <bgColor rgb="FF435E91"/>
      </patternFill>
    </fill>
    <fill>
      <patternFill patternType="solid">
        <fgColor rgb="FFDBE1F8"/>
        <bgColor rgb="FFDBE1F8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  <fill>
      <patternFill patternType="solid">
        <fgColor rgb="FFEA9999"/>
        <bgColor rgb="FFEA9999"/>
      </patternFill>
    </fill>
    <fill>
      <patternFill patternType="solid">
        <fgColor rgb="FFC27BA0"/>
        <bgColor rgb="FFC27BA0"/>
      </patternFill>
    </fill>
  </fills>
  <borders count="15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74777E"/>
      </right>
      <top style="thin">
        <color rgb="FF74777E"/>
      </top>
      <bottom style="thin">
        <color rgb="FF74777E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74777E"/>
      </left>
      <right style="thin">
        <color rgb="FF74777E"/>
      </right>
      <bottom style="thin">
        <color rgb="FF74777E"/>
      </bottom>
    </border>
    <border>
      <left style="thin">
        <color rgb="FF74777E"/>
      </left>
      <bottom style="thin">
        <color rgb="FF74777E"/>
      </bottom>
    </border>
    <border>
      <left style="thin">
        <color rgb="FF74777E"/>
      </left>
      <top style="thin">
        <color rgb="FF74777E"/>
      </top>
      <bottom style="thin">
        <color rgb="FF74777E"/>
      </bottom>
    </border>
    <border>
      <top style="thin">
        <color rgb="FF74777E"/>
      </top>
      <bottom style="thin">
        <color rgb="FF74777E"/>
      </bottom>
    </border>
    <border>
      <left style="thin">
        <color rgb="FF74777E"/>
      </left>
      <right style="thin">
        <color rgb="FF74777E"/>
      </right>
      <top style="thin">
        <color rgb="FF74777E"/>
      </top>
    </border>
    <border>
      <left style="thin">
        <color rgb="FF74777E"/>
      </left>
      <top style="thin">
        <color rgb="FF74777E"/>
      </top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" fontId="3" numFmtId="0" xfId="0" applyAlignment="1" applyFill="1" applyFont="1">
      <alignment horizontal="center" readingOrder="0"/>
    </xf>
    <xf borderId="1" fillId="3" fontId="4" numFmtId="0" xfId="0" applyAlignment="1" applyBorder="1" applyFill="1" applyFont="1">
      <alignment horizontal="center" readingOrder="0"/>
    </xf>
    <xf borderId="1" fillId="4" fontId="4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3" fillId="4" fontId="4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 readingOrder="0"/>
    </xf>
    <xf borderId="5" fillId="3" fontId="4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3" fillId="0" fontId="1" numFmtId="4" xfId="0" applyAlignment="1" applyBorder="1" applyFont="1" applyNumberFormat="1">
      <alignment horizontal="center"/>
    </xf>
    <xf borderId="4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center" readingOrder="0"/>
    </xf>
    <xf borderId="2" fillId="0" fontId="1" numFmtId="4" xfId="0" applyAlignment="1" applyBorder="1" applyFont="1" applyNumberFormat="1">
      <alignment horizontal="center"/>
    </xf>
    <xf borderId="2" fillId="0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3" fillId="0" fontId="4" numFmtId="0" xfId="0" applyAlignment="1" applyBorder="1" applyFont="1">
      <alignment horizontal="center" readingOrder="0"/>
    </xf>
    <xf borderId="7" fillId="0" fontId="5" numFmtId="0" xfId="0" applyBorder="1" applyFont="1"/>
    <xf borderId="5" fillId="0" fontId="5" numFmtId="0" xfId="0" applyBorder="1" applyFont="1"/>
    <xf borderId="2" fillId="5" fontId="4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8" fillId="0" fontId="4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8" fillId="0" fontId="1" numFmtId="0" xfId="0" applyAlignment="1" applyBorder="1" applyFont="1">
      <alignment horizontal="center"/>
    </xf>
    <xf borderId="9" fillId="3" fontId="4" numFmtId="0" xfId="0" applyAlignment="1" applyBorder="1" applyFill="1" applyFont="1">
      <alignment horizontal="center" readingOrder="0"/>
    </xf>
    <xf borderId="10" fillId="3" fontId="4" numFmtId="0" xfId="0" applyAlignment="1" applyBorder="1" applyFill="1" applyFont="1">
      <alignment horizontal="center" readingOrder="0"/>
    </xf>
    <xf borderId="3" fillId="3" fontId="4" numFmtId="0" xfId="0" applyAlignment="1" applyBorder="1" applyFill="1" applyFont="1">
      <alignment horizontal="center" readingOrder="0"/>
    </xf>
    <xf borderId="11" fillId="0" fontId="1" numFmtId="0" xfId="0" applyAlignment="1" applyBorder="1" applyFont="1">
      <alignment horizontal="center" readingOrder="0"/>
    </xf>
    <xf borderId="8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1" fillId="0" fontId="1" numFmtId="0" xfId="0" applyAlignment="1" applyBorder="1" applyFont="1">
      <alignment horizontal="center"/>
    </xf>
    <xf borderId="12" fillId="0" fontId="5" numFmtId="0" xfId="0" applyBorder="1" applyFont="1"/>
    <xf borderId="0" fillId="0" fontId="6" numFmtId="0" xfId="0" applyAlignment="1" applyFont="1">
      <alignment horizontal="center" readingOrder="0"/>
    </xf>
    <xf borderId="13" fillId="0" fontId="1" numFmtId="0" xfId="0" applyAlignment="1" applyBorder="1" applyFont="1">
      <alignment horizontal="center" readingOrder="0"/>
    </xf>
    <xf borderId="13" fillId="0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4" fontId="1" numFmtId="4" xfId="0" applyAlignment="1" applyBorder="1" applyFill="1" applyFont="1" applyNumberFormat="1">
      <alignment horizontal="center" readingOrder="0"/>
    </xf>
    <xf borderId="1" fillId="4" fontId="1" numFmtId="0" xfId="0" applyAlignment="1" applyBorder="1" applyFill="1" applyFont="1">
      <alignment horizontal="center"/>
    </xf>
    <xf borderId="1" fillId="6" fontId="1" numFmtId="0" xfId="0" applyAlignment="1" applyBorder="1" applyFill="1" applyFon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1" fillId="6" fontId="1" numFmtId="4" xfId="0" applyAlignment="1" applyBorder="1" applyFill="1" applyFont="1" applyNumberFormat="1">
      <alignment horizontal="center" readingOrder="0"/>
    </xf>
    <xf borderId="1" fillId="6" fontId="1" numFmtId="0" xfId="0" applyAlignment="1" applyBorder="1" applyFill="1" applyFont="1">
      <alignment horizontal="center"/>
    </xf>
    <xf borderId="1" fillId="7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7" fontId="1" numFmtId="4" xfId="0" applyAlignment="1" applyBorder="1" applyFill="1" applyFont="1" applyNumberFormat="1">
      <alignment horizontal="center" readingOrder="0"/>
    </xf>
    <xf borderId="1" fillId="7" fontId="1" numFmtId="0" xfId="0" applyAlignment="1" applyBorder="1" applyFill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4" xfId="0" applyAlignment="1" applyFont="1" applyNumberFormat="1">
      <alignment horizontal="center" readingOrder="0"/>
    </xf>
    <xf borderId="1" fillId="8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 readingOrder="0"/>
    </xf>
    <xf borderId="1" fillId="8" fontId="1" numFmtId="4" xfId="0" applyAlignment="1" applyBorder="1" applyFill="1" applyFont="1" applyNumberFormat="1">
      <alignment horizontal="center" readingOrder="0"/>
    </xf>
    <xf borderId="1" fillId="8" fontId="1" numFmtId="0" xfId="0" applyAlignment="1" applyBorder="1" applyFill="1" applyFont="1">
      <alignment horizontal="center"/>
    </xf>
    <xf borderId="0" fillId="2" fontId="3" numFmtId="0" xfId="0" applyAlignment="1" applyFill="1" applyFont="1">
      <alignment horizontal="center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vertical="bottom"/>
    </xf>
    <xf borderId="13" fillId="3" fontId="4" numFmtId="0" xfId="0" applyAlignment="1" applyBorder="1" applyFill="1" applyFont="1">
      <alignment horizontal="center" vertical="bottom"/>
    </xf>
    <xf borderId="13" fillId="3" fontId="4" numFmtId="0" xfId="0" applyAlignment="1" applyBorder="1" applyFill="1" applyFont="1">
      <alignment horizontal="center" vertical="bottom"/>
    </xf>
    <xf borderId="2" fillId="0" fontId="1" numFmtId="0" xfId="0" applyAlignment="1" applyBorder="1" applyFont="1">
      <alignment horizontal="center" readingOrder="0" vertical="bottom"/>
    </xf>
    <xf borderId="2" fillId="0" fontId="7" numFmtId="0" xfId="0" applyAlignment="1" applyBorder="1" applyFont="1">
      <alignment horizontal="center" readingOrder="0" vertical="bottom"/>
    </xf>
    <xf borderId="2" fillId="0" fontId="1" numFmtId="4" xfId="0" applyAlignment="1" applyBorder="1" applyFont="1" applyNumberFormat="1">
      <alignment horizontal="center" readingOrder="0"/>
    </xf>
    <xf borderId="0" fillId="0" fontId="4" numFmtId="0" xfId="0" applyAlignment="1" applyFont="1">
      <alignment horizontal="center" readingOrder="0" vertical="bottom"/>
    </xf>
    <xf borderId="11" fillId="3" fontId="4" numFmtId="0" xfId="0" applyAlignment="1" applyBorder="1" applyFill="1" applyFont="1">
      <alignment horizontal="center" readingOrder="0"/>
    </xf>
    <xf borderId="14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75"/>
    <col customWidth="1" min="2" max="2" width="61.38"/>
    <col customWidth="1" min="3" max="3" width="33.88"/>
    <col customWidth="1" min="4" max="4" width="39.25"/>
    <col customWidth="1" min="5" max="5" width="28.88"/>
    <col customWidth="1" min="6" max="6" width="32.63"/>
    <col customWidth="1" min="7" max="7" width="29.5"/>
    <col customWidth="1" min="8" max="10" width="32.75"/>
    <col customWidth="1" min="11" max="11" width="28.25"/>
    <col customWidth="1" min="12" max="12" width="25.13"/>
  </cols>
  <sheetData>
    <row r="1">
      <c r="A1" s="1"/>
      <c r="B1" s="2" t="s">
        <v>0</v>
      </c>
      <c r="I1" s="1"/>
      <c r="J1" s="1"/>
      <c r="K1" s="1"/>
      <c r="L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>
      <c r="A3" s="1"/>
      <c r="B3" s="3" t="s">
        <v>1</v>
      </c>
      <c r="I3" s="1"/>
      <c r="J3" s="1"/>
      <c r="K3" s="1"/>
      <c r="L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>
      <c r="A5" s="1"/>
      <c r="B5" s="4" t="s">
        <v>2</v>
      </c>
      <c r="C5" s="4" t="s">
        <v>3</v>
      </c>
      <c r="D5" s="5" t="s">
        <v>4</v>
      </c>
      <c r="E5" s="4" t="s">
        <v>5</v>
      </c>
      <c r="F5" s="1"/>
      <c r="G5" s="1"/>
      <c r="H5" s="1"/>
      <c r="I5" s="1"/>
      <c r="J5" s="1"/>
      <c r="K5" s="1"/>
      <c r="L5" s="1"/>
    </row>
    <row r="6">
      <c r="A6" s="1"/>
      <c r="B6" s="6" t="s">
        <v>6</v>
      </c>
      <c r="C6" s="6" t="s">
        <v>7</v>
      </c>
      <c r="D6" s="6" t="s">
        <v>8</v>
      </c>
      <c r="E6" s="6" t="s">
        <v>9</v>
      </c>
      <c r="F6" s="1"/>
      <c r="G6" s="1"/>
      <c r="H6" s="1"/>
      <c r="I6" s="1"/>
      <c r="J6" s="1"/>
      <c r="K6" s="1"/>
      <c r="L6" s="1"/>
    </row>
    <row r="7">
      <c r="A7" s="1"/>
      <c r="B7" s="6" t="s">
        <v>10</v>
      </c>
      <c r="C7" s="6" t="s">
        <v>11</v>
      </c>
      <c r="D7" s="6" t="s">
        <v>11</v>
      </c>
      <c r="E7" s="6" t="s">
        <v>9</v>
      </c>
      <c r="F7" s="1"/>
      <c r="G7" s="1"/>
      <c r="H7" s="1"/>
      <c r="I7" s="1"/>
      <c r="J7" s="1"/>
      <c r="K7" s="1"/>
      <c r="L7" s="1"/>
    </row>
    <row r="8">
      <c r="A8" s="1"/>
      <c r="B8" s="6" t="s">
        <v>12</v>
      </c>
      <c r="C8" s="6">
        <v>8.0</v>
      </c>
      <c r="D8" s="6">
        <v>4.3</v>
      </c>
      <c r="E8" s="6" t="s">
        <v>13</v>
      </c>
      <c r="F8" s="1"/>
      <c r="G8" s="1"/>
      <c r="H8" s="1"/>
      <c r="I8" s="1"/>
      <c r="J8" s="1"/>
      <c r="K8" s="1"/>
      <c r="L8" s="1"/>
    </row>
    <row r="9">
      <c r="A9" s="1"/>
      <c r="B9" s="7"/>
      <c r="F9" s="7"/>
      <c r="G9" s="7"/>
      <c r="H9" s="7"/>
      <c r="I9" s="1"/>
      <c r="J9" s="1"/>
      <c r="K9" s="1"/>
      <c r="L9" s="1"/>
    </row>
    <row r="10">
      <c r="A10" s="1"/>
      <c r="B10" s="7" t="s">
        <v>14</v>
      </c>
      <c r="G10" s="7"/>
      <c r="H10" s="7" t="s">
        <v>15</v>
      </c>
    </row>
    <row r="11">
      <c r="A11" s="1"/>
      <c r="B11" s="8" t="s">
        <v>16</v>
      </c>
      <c r="C11" s="8" t="s">
        <v>17</v>
      </c>
      <c r="D11" s="8" t="s">
        <v>18</v>
      </c>
      <c r="E11" s="8" t="s">
        <v>19</v>
      </c>
      <c r="F11" s="9" t="s">
        <v>20</v>
      </c>
      <c r="G11" s="10"/>
      <c r="H11" s="11" t="s">
        <v>16</v>
      </c>
      <c r="I11" s="12" t="s">
        <v>17</v>
      </c>
      <c r="J11" s="12" t="s">
        <v>18</v>
      </c>
      <c r="K11" s="12" t="s">
        <v>19</v>
      </c>
      <c r="L11" s="12" t="s">
        <v>20</v>
      </c>
    </row>
    <row r="12">
      <c r="A12" s="1"/>
      <c r="B12" s="13">
        <v>100.0</v>
      </c>
      <c r="C12" s="14">
        <v>145.26</v>
      </c>
      <c r="D12" s="14">
        <v>142.43</v>
      </c>
      <c r="E12" s="14">
        <v>144.68</v>
      </c>
      <c r="F12" s="15">
        <f t="shared" ref="F12:F22" si="1">AVERAGE(C12:E12)</f>
        <v>144.1233333</v>
      </c>
      <c r="G12" s="16"/>
      <c r="H12" s="17">
        <v>100.0</v>
      </c>
      <c r="I12" s="14">
        <v>73.05</v>
      </c>
      <c r="J12" s="14">
        <v>74.02</v>
      </c>
      <c r="K12" s="14">
        <v>74.73</v>
      </c>
      <c r="L12" s="18">
        <f t="shared" ref="L12:L22" si="2">AVERAGE(I12:K12)</f>
        <v>73.93333333</v>
      </c>
    </row>
    <row r="13">
      <c r="A13" s="1"/>
      <c r="B13" s="13">
        <v>90.0</v>
      </c>
      <c r="C13" s="14">
        <v>140.96</v>
      </c>
      <c r="D13" s="14">
        <v>136.58</v>
      </c>
      <c r="E13" s="14">
        <v>139.27</v>
      </c>
      <c r="F13" s="15">
        <f t="shared" si="1"/>
        <v>138.9366667</v>
      </c>
      <c r="G13" s="16"/>
      <c r="H13" s="17">
        <v>90.0</v>
      </c>
      <c r="I13" s="14">
        <v>65.02</v>
      </c>
      <c r="J13" s="14">
        <v>67.73</v>
      </c>
      <c r="K13" s="14">
        <v>68.39</v>
      </c>
      <c r="L13" s="18">
        <f t="shared" si="2"/>
        <v>67.04666667</v>
      </c>
    </row>
    <row r="14">
      <c r="A14" s="1"/>
      <c r="B14" s="13">
        <v>80.0</v>
      </c>
      <c r="C14" s="14">
        <v>131.55</v>
      </c>
      <c r="D14" s="14">
        <v>127.15</v>
      </c>
      <c r="E14" s="14">
        <v>130.66</v>
      </c>
      <c r="F14" s="15">
        <f t="shared" si="1"/>
        <v>129.7866667</v>
      </c>
      <c r="G14" s="16"/>
      <c r="H14" s="17">
        <v>80.0</v>
      </c>
      <c r="I14" s="14">
        <v>56.36</v>
      </c>
      <c r="J14" s="14">
        <v>59.21</v>
      </c>
      <c r="K14" s="14">
        <v>60.75</v>
      </c>
      <c r="L14" s="18">
        <f t="shared" si="2"/>
        <v>58.77333333</v>
      </c>
    </row>
    <row r="15">
      <c r="A15" s="1"/>
      <c r="B15" s="13">
        <v>70.0</v>
      </c>
      <c r="C15" s="14">
        <v>118.98</v>
      </c>
      <c r="D15" s="14">
        <v>113.62</v>
      </c>
      <c r="E15" s="14">
        <v>118.02</v>
      </c>
      <c r="F15" s="15">
        <f t="shared" si="1"/>
        <v>116.8733333</v>
      </c>
      <c r="G15" s="16"/>
      <c r="H15" s="17">
        <v>70.0</v>
      </c>
      <c r="I15" s="14">
        <v>41.07</v>
      </c>
      <c r="J15" s="14">
        <v>48.87</v>
      </c>
      <c r="K15" s="14">
        <v>50.12</v>
      </c>
      <c r="L15" s="18">
        <f t="shared" si="2"/>
        <v>46.68666667</v>
      </c>
    </row>
    <row r="16">
      <c r="A16" s="1"/>
      <c r="B16" s="13">
        <v>60.0</v>
      </c>
      <c r="C16" s="14">
        <v>106.67</v>
      </c>
      <c r="D16" s="14">
        <v>98.61</v>
      </c>
      <c r="E16" s="14">
        <v>103.84</v>
      </c>
      <c r="F16" s="15">
        <f t="shared" si="1"/>
        <v>103.04</v>
      </c>
      <c r="G16" s="16"/>
      <c r="H16" s="17">
        <v>60.0</v>
      </c>
      <c r="I16" s="14">
        <v>31.09</v>
      </c>
      <c r="J16" s="14">
        <v>39.69</v>
      </c>
      <c r="K16" s="14">
        <v>40.72</v>
      </c>
      <c r="L16" s="18">
        <f t="shared" si="2"/>
        <v>37.16666667</v>
      </c>
    </row>
    <row r="17">
      <c r="A17" s="1"/>
      <c r="B17" s="13">
        <v>50.0</v>
      </c>
      <c r="C17" s="14">
        <v>90.09</v>
      </c>
      <c r="D17" s="14">
        <v>81.77</v>
      </c>
      <c r="E17" s="14">
        <v>88.56</v>
      </c>
      <c r="F17" s="15">
        <f t="shared" si="1"/>
        <v>86.80666667</v>
      </c>
      <c r="G17" s="16"/>
      <c r="H17" s="17">
        <v>50.0</v>
      </c>
      <c r="I17" s="14">
        <v>23.71</v>
      </c>
      <c r="J17" s="14">
        <v>29.87</v>
      </c>
      <c r="K17" s="14">
        <v>30.88</v>
      </c>
      <c r="L17" s="18">
        <f t="shared" si="2"/>
        <v>28.15333333</v>
      </c>
    </row>
    <row r="18">
      <c r="A18" s="1"/>
      <c r="B18" s="13">
        <v>40.0</v>
      </c>
      <c r="C18" s="14">
        <v>71.78</v>
      </c>
      <c r="D18" s="14">
        <v>62.97</v>
      </c>
      <c r="E18" s="14">
        <v>70.92</v>
      </c>
      <c r="F18" s="15">
        <f t="shared" si="1"/>
        <v>68.55666667</v>
      </c>
      <c r="G18" s="16"/>
      <c r="H18" s="17">
        <v>40.0</v>
      </c>
      <c r="I18" s="14">
        <v>17.53</v>
      </c>
      <c r="J18" s="14">
        <v>22.76</v>
      </c>
      <c r="K18" s="14">
        <v>23.28</v>
      </c>
      <c r="L18" s="18">
        <f t="shared" si="2"/>
        <v>21.19</v>
      </c>
    </row>
    <row r="19">
      <c r="A19" s="1"/>
      <c r="B19" s="13">
        <v>30.0</v>
      </c>
      <c r="C19" s="14">
        <v>55.26</v>
      </c>
      <c r="D19" s="14">
        <v>45.12</v>
      </c>
      <c r="E19" s="14">
        <v>53.04</v>
      </c>
      <c r="F19" s="15">
        <f t="shared" si="1"/>
        <v>51.14</v>
      </c>
      <c r="G19" s="16"/>
      <c r="H19" s="17">
        <v>30.0</v>
      </c>
      <c r="I19" s="14">
        <v>13.87</v>
      </c>
      <c r="J19" s="14">
        <v>17.0</v>
      </c>
      <c r="K19" s="14">
        <v>15.52</v>
      </c>
      <c r="L19" s="18">
        <f t="shared" si="2"/>
        <v>15.46333333</v>
      </c>
    </row>
    <row r="20">
      <c r="A20" s="1"/>
      <c r="B20" s="13">
        <v>20.0</v>
      </c>
      <c r="C20" s="14">
        <v>36.52</v>
      </c>
      <c r="D20" s="14">
        <v>28.84</v>
      </c>
      <c r="E20" s="14">
        <v>35.17</v>
      </c>
      <c r="F20" s="15">
        <f t="shared" si="1"/>
        <v>33.51</v>
      </c>
      <c r="G20" s="16"/>
      <c r="H20" s="17">
        <v>20.0</v>
      </c>
      <c r="I20" s="14">
        <v>6.89</v>
      </c>
      <c r="J20" s="14">
        <v>12.94</v>
      </c>
      <c r="K20" s="14">
        <v>7.27</v>
      </c>
      <c r="L20" s="18">
        <f t="shared" si="2"/>
        <v>9.033333333</v>
      </c>
    </row>
    <row r="21">
      <c r="A21" s="1"/>
      <c r="B21" s="13">
        <v>10.0</v>
      </c>
      <c r="C21" s="14">
        <v>20.62</v>
      </c>
      <c r="D21" s="14">
        <v>13.69</v>
      </c>
      <c r="E21" s="14">
        <v>20.43</v>
      </c>
      <c r="F21" s="15">
        <f t="shared" si="1"/>
        <v>18.24666667</v>
      </c>
      <c r="G21" s="16"/>
      <c r="H21" s="17">
        <v>10.0</v>
      </c>
      <c r="I21" s="14">
        <v>2.58</v>
      </c>
      <c r="J21" s="14">
        <v>5.11</v>
      </c>
      <c r="K21" s="14">
        <v>3.14</v>
      </c>
      <c r="L21" s="18">
        <f t="shared" si="2"/>
        <v>3.61</v>
      </c>
    </row>
    <row r="22">
      <c r="A22" s="1"/>
      <c r="B22" s="13">
        <v>0.0</v>
      </c>
      <c r="C22" s="14">
        <v>0.0</v>
      </c>
      <c r="D22" s="14">
        <v>0.0</v>
      </c>
      <c r="E22" s="14">
        <v>0.0</v>
      </c>
      <c r="F22" s="15">
        <f t="shared" si="1"/>
        <v>0</v>
      </c>
      <c r="G22" s="16"/>
      <c r="H22" s="17">
        <v>0.0</v>
      </c>
      <c r="I22" s="14">
        <v>0.0</v>
      </c>
      <c r="J22" s="14">
        <v>0.0</v>
      </c>
      <c r="K22" s="14">
        <v>0.0</v>
      </c>
      <c r="L22" s="18">
        <f t="shared" si="2"/>
        <v>0</v>
      </c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>
      <c r="A24" s="1"/>
      <c r="B24" s="7" t="s">
        <v>21</v>
      </c>
      <c r="G24" s="7"/>
      <c r="H24" s="7" t="s">
        <v>22</v>
      </c>
    </row>
    <row r="25">
      <c r="A25" s="1"/>
      <c r="B25" s="8" t="s">
        <v>16</v>
      </c>
      <c r="C25" s="8" t="s">
        <v>17</v>
      </c>
      <c r="D25" s="8" t="s">
        <v>18</v>
      </c>
      <c r="E25" s="8" t="s">
        <v>19</v>
      </c>
      <c r="F25" s="9" t="s">
        <v>20</v>
      </c>
      <c r="G25" s="10"/>
      <c r="H25" s="11" t="s">
        <v>16</v>
      </c>
      <c r="I25" s="12" t="s">
        <v>17</v>
      </c>
      <c r="J25" s="12" t="s">
        <v>18</v>
      </c>
      <c r="K25" s="12" t="s">
        <v>19</v>
      </c>
      <c r="L25" s="12" t="s">
        <v>20</v>
      </c>
    </row>
    <row r="26">
      <c r="A26" s="1"/>
      <c r="B26" s="19">
        <v>0.0</v>
      </c>
      <c r="C26" s="14">
        <v>0.0</v>
      </c>
      <c r="D26" s="14">
        <v>0.0</v>
      </c>
      <c r="E26" s="14">
        <v>0.0</v>
      </c>
      <c r="F26" s="15">
        <f t="shared" ref="F26:F36" si="3">AVERAGE(C26:E26)</f>
        <v>0</v>
      </c>
      <c r="G26" s="16"/>
      <c r="H26" s="20">
        <v>0.0</v>
      </c>
      <c r="I26" s="14">
        <v>0.0</v>
      </c>
      <c r="J26" s="14">
        <v>0.0</v>
      </c>
      <c r="K26" s="14">
        <v>0.0</v>
      </c>
      <c r="L26" s="18">
        <f t="shared" ref="L26:L36" si="4">AVERAGE(I26:K26)</f>
        <v>0</v>
      </c>
    </row>
    <row r="27">
      <c r="A27" s="1"/>
      <c r="B27" s="19">
        <v>10.0</v>
      </c>
      <c r="C27" s="14">
        <v>16.55</v>
      </c>
      <c r="D27" s="14">
        <v>20.66</v>
      </c>
      <c r="E27" s="14">
        <v>16.91</v>
      </c>
      <c r="F27" s="15">
        <f t="shared" si="3"/>
        <v>18.04</v>
      </c>
      <c r="G27" s="16"/>
      <c r="H27" s="20">
        <v>10.0</v>
      </c>
      <c r="I27" s="14">
        <v>13.91</v>
      </c>
      <c r="J27" s="14">
        <v>14.43</v>
      </c>
      <c r="K27" s="14">
        <v>14.15</v>
      </c>
      <c r="L27" s="18">
        <f t="shared" si="4"/>
        <v>14.16333333</v>
      </c>
    </row>
    <row r="28">
      <c r="A28" s="1"/>
      <c r="B28" s="19">
        <v>20.0</v>
      </c>
      <c r="C28" s="14">
        <v>29.53</v>
      </c>
      <c r="D28" s="14">
        <v>34.01</v>
      </c>
      <c r="E28" s="14">
        <v>30.07</v>
      </c>
      <c r="F28" s="15">
        <f t="shared" si="3"/>
        <v>31.20333333</v>
      </c>
      <c r="G28" s="16"/>
      <c r="H28" s="20">
        <v>20.0</v>
      </c>
      <c r="I28" s="14">
        <v>21.99</v>
      </c>
      <c r="J28" s="14">
        <v>22.52</v>
      </c>
      <c r="K28" s="14">
        <v>22.85</v>
      </c>
      <c r="L28" s="18">
        <f t="shared" si="4"/>
        <v>22.45333333</v>
      </c>
    </row>
    <row r="29">
      <c r="A29" s="1"/>
      <c r="B29" s="19">
        <v>30.0</v>
      </c>
      <c r="C29" s="14">
        <v>46.26</v>
      </c>
      <c r="D29" s="14">
        <v>53.24</v>
      </c>
      <c r="E29" s="14">
        <v>48.15</v>
      </c>
      <c r="F29" s="15">
        <f t="shared" si="3"/>
        <v>49.21666667</v>
      </c>
      <c r="G29" s="16"/>
      <c r="H29" s="20">
        <v>30.0</v>
      </c>
      <c r="I29" s="14">
        <v>32.02</v>
      </c>
      <c r="J29" s="14">
        <v>32.4</v>
      </c>
      <c r="K29" s="14">
        <v>32.44</v>
      </c>
      <c r="L29" s="18">
        <f t="shared" si="4"/>
        <v>32.28666667</v>
      </c>
    </row>
    <row r="30">
      <c r="A30" s="1"/>
      <c r="B30" s="19">
        <v>40.0</v>
      </c>
      <c r="C30" s="14">
        <v>64.57</v>
      </c>
      <c r="D30" s="14">
        <v>71.18</v>
      </c>
      <c r="E30" s="14">
        <v>66.84</v>
      </c>
      <c r="F30" s="15">
        <f t="shared" si="3"/>
        <v>67.53</v>
      </c>
      <c r="G30" s="16"/>
      <c r="H30" s="20">
        <v>40.0</v>
      </c>
      <c r="I30" s="14">
        <v>43.81</v>
      </c>
      <c r="J30" s="14">
        <v>44.06</v>
      </c>
      <c r="K30" s="14">
        <v>44.35</v>
      </c>
      <c r="L30" s="18">
        <f t="shared" si="4"/>
        <v>44.07333333</v>
      </c>
    </row>
    <row r="31">
      <c r="A31" s="1"/>
      <c r="B31" s="19">
        <v>50.0</v>
      </c>
      <c r="C31" s="14">
        <v>81.29</v>
      </c>
      <c r="D31" s="14">
        <v>84.99</v>
      </c>
      <c r="E31" s="14">
        <v>81.93</v>
      </c>
      <c r="F31" s="15">
        <f t="shared" si="3"/>
        <v>82.73666667</v>
      </c>
      <c r="G31" s="16"/>
      <c r="H31" s="20">
        <v>50.0</v>
      </c>
      <c r="I31" s="14">
        <v>52.59</v>
      </c>
      <c r="J31" s="14">
        <v>52.78</v>
      </c>
      <c r="K31" s="14">
        <v>52.82</v>
      </c>
      <c r="L31" s="18">
        <f t="shared" si="4"/>
        <v>52.73</v>
      </c>
    </row>
    <row r="32">
      <c r="A32" s="1"/>
      <c r="B32" s="19">
        <v>60.0</v>
      </c>
      <c r="C32" s="14">
        <v>98.58</v>
      </c>
      <c r="D32" s="14">
        <v>103.31</v>
      </c>
      <c r="E32" s="14">
        <v>99.56</v>
      </c>
      <c r="F32" s="15">
        <f t="shared" si="3"/>
        <v>100.4833333</v>
      </c>
      <c r="G32" s="16"/>
      <c r="H32" s="20">
        <v>60.0</v>
      </c>
      <c r="I32" s="14">
        <v>60.09</v>
      </c>
      <c r="J32" s="14">
        <v>60.52</v>
      </c>
      <c r="K32" s="14">
        <v>60.68</v>
      </c>
      <c r="L32" s="18">
        <f t="shared" si="4"/>
        <v>60.43</v>
      </c>
    </row>
    <row r="33">
      <c r="A33" s="1"/>
      <c r="B33" s="19">
        <v>70.0</v>
      </c>
      <c r="C33" s="14">
        <v>112.86</v>
      </c>
      <c r="D33" s="14">
        <v>115.55</v>
      </c>
      <c r="E33" s="14">
        <v>113.11</v>
      </c>
      <c r="F33" s="15">
        <f t="shared" si="3"/>
        <v>113.84</v>
      </c>
      <c r="G33" s="16"/>
      <c r="H33" s="20">
        <v>70.0</v>
      </c>
      <c r="I33" s="14">
        <v>65.47</v>
      </c>
      <c r="J33" s="14">
        <v>65.45</v>
      </c>
      <c r="K33" s="14">
        <v>65.45</v>
      </c>
      <c r="L33" s="18">
        <f t="shared" si="4"/>
        <v>65.45666667</v>
      </c>
    </row>
    <row r="34">
      <c r="A34" s="1"/>
      <c r="B34" s="19">
        <v>80.0</v>
      </c>
      <c r="C34" s="14">
        <v>123.48</v>
      </c>
      <c r="D34" s="14">
        <v>126.09</v>
      </c>
      <c r="E34" s="14">
        <v>124.26</v>
      </c>
      <c r="F34" s="15">
        <f t="shared" si="3"/>
        <v>124.61</v>
      </c>
      <c r="G34" s="16"/>
      <c r="H34" s="20">
        <v>80.0</v>
      </c>
      <c r="I34" s="14">
        <v>68.95</v>
      </c>
      <c r="J34" s="14">
        <v>69.19</v>
      </c>
      <c r="K34" s="14">
        <v>69.54</v>
      </c>
      <c r="L34" s="18">
        <f t="shared" si="4"/>
        <v>69.22666667</v>
      </c>
    </row>
    <row r="35">
      <c r="A35" s="1"/>
      <c r="B35" s="19">
        <v>90.0</v>
      </c>
      <c r="C35" s="14">
        <v>134.02</v>
      </c>
      <c r="D35" s="14">
        <v>136.48</v>
      </c>
      <c r="E35" s="14">
        <v>134.84</v>
      </c>
      <c r="F35" s="15">
        <f t="shared" si="3"/>
        <v>135.1133333</v>
      </c>
      <c r="G35" s="16"/>
      <c r="H35" s="20">
        <v>90.0</v>
      </c>
      <c r="I35" s="14">
        <v>71.6</v>
      </c>
      <c r="J35" s="14">
        <v>71.86</v>
      </c>
      <c r="K35" s="14">
        <v>72.36</v>
      </c>
      <c r="L35" s="18">
        <f t="shared" si="4"/>
        <v>71.94</v>
      </c>
    </row>
    <row r="36">
      <c r="A36" s="1"/>
      <c r="B36" s="19">
        <v>100.0</v>
      </c>
      <c r="C36" s="14">
        <v>142.43</v>
      </c>
      <c r="D36" s="14">
        <v>144.35</v>
      </c>
      <c r="E36" s="14">
        <v>143.14</v>
      </c>
      <c r="F36" s="15">
        <f t="shared" si="3"/>
        <v>143.3066667</v>
      </c>
      <c r="G36" s="16"/>
      <c r="H36" s="20">
        <v>100.0</v>
      </c>
      <c r="I36" s="14">
        <v>74.01</v>
      </c>
      <c r="J36" s="14">
        <v>74.03</v>
      </c>
      <c r="K36" s="14">
        <v>74.74</v>
      </c>
      <c r="L36" s="18">
        <f t="shared" si="4"/>
        <v>74.26</v>
      </c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>
      <c r="A39" s="1"/>
      <c r="B39" s="12" t="s">
        <v>23</v>
      </c>
      <c r="C39" s="8" t="s">
        <v>24</v>
      </c>
      <c r="D39" s="8" t="s">
        <v>25</v>
      </c>
      <c r="E39" s="8" t="s">
        <v>26</v>
      </c>
      <c r="F39" s="8" t="s">
        <v>27</v>
      </c>
      <c r="G39" s="8" t="s">
        <v>28</v>
      </c>
      <c r="H39" s="12" t="s">
        <v>29</v>
      </c>
      <c r="I39" s="12" t="s">
        <v>30</v>
      </c>
      <c r="J39" s="12" t="s">
        <v>31</v>
      </c>
      <c r="K39" s="12" t="s">
        <v>32</v>
      </c>
      <c r="L39" s="12" t="s">
        <v>33</v>
      </c>
    </row>
    <row r="40">
      <c r="A40" s="1"/>
      <c r="B40" s="14">
        <v>0.0</v>
      </c>
      <c r="C40" s="14">
        <v>0.0</v>
      </c>
      <c r="D40" s="14">
        <v>0.0</v>
      </c>
      <c r="E40" s="14">
        <v>0.0</v>
      </c>
      <c r="F40" s="14">
        <v>0.0</v>
      </c>
      <c r="G40" s="14" t="s">
        <v>34</v>
      </c>
      <c r="H40" s="14">
        <v>0.0</v>
      </c>
      <c r="I40" s="14">
        <v>0.0</v>
      </c>
      <c r="J40" s="14">
        <v>0.0</v>
      </c>
      <c r="K40" s="14">
        <v>0.0</v>
      </c>
      <c r="L40" s="14" t="s">
        <v>34</v>
      </c>
    </row>
    <row r="41">
      <c r="A41" s="1"/>
      <c r="B41" s="14">
        <v>2.0</v>
      </c>
      <c r="C41" s="14">
        <v>0.0</v>
      </c>
      <c r="D41" s="14">
        <v>0.0</v>
      </c>
      <c r="E41" s="14">
        <v>0.0</v>
      </c>
      <c r="F41" s="14">
        <v>0.0</v>
      </c>
      <c r="G41" s="14" t="s">
        <v>34</v>
      </c>
      <c r="H41" s="14">
        <v>0.0</v>
      </c>
      <c r="I41" s="14">
        <v>0.0</v>
      </c>
      <c r="J41" s="14">
        <v>0.0</v>
      </c>
      <c r="K41" s="14">
        <v>0.0</v>
      </c>
      <c r="L41" s="14" t="s">
        <v>34</v>
      </c>
    </row>
    <row r="42">
      <c r="A42" s="1"/>
      <c r="B42" s="14">
        <v>4.0</v>
      </c>
      <c r="C42" s="14">
        <v>0.89</v>
      </c>
      <c r="D42" s="14">
        <v>0.35</v>
      </c>
      <c r="E42" s="14">
        <v>1.05</v>
      </c>
      <c r="F42" s="14">
        <v>0.76</v>
      </c>
      <c r="G42" s="14">
        <v>2.63</v>
      </c>
      <c r="H42" s="14">
        <v>1.61</v>
      </c>
      <c r="I42" s="14">
        <v>1.59</v>
      </c>
      <c r="J42" s="14">
        <v>0.73</v>
      </c>
      <c r="K42" s="14">
        <v>1.31</v>
      </c>
      <c r="L42" s="14">
        <v>1.53</v>
      </c>
    </row>
    <row r="43">
      <c r="A43" s="1"/>
      <c r="B43" s="14">
        <v>6.0</v>
      </c>
      <c r="C43" s="14">
        <v>1.85</v>
      </c>
      <c r="D43" s="14">
        <v>0.92</v>
      </c>
      <c r="E43" s="14">
        <v>1.58</v>
      </c>
      <c r="F43" s="14">
        <v>1.46</v>
      </c>
      <c r="G43" s="14">
        <v>2.74</v>
      </c>
      <c r="H43" s="14">
        <v>2.41</v>
      </c>
      <c r="I43" s="14">
        <v>2.81</v>
      </c>
      <c r="J43" s="14">
        <v>1.93</v>
      </c>
      <c r="K43" s="14">
        <v>2.38</v>
      </c>
      <c r="L43" s="14">
        <v>1.67</v>
      </c>
    </row>
    <row r="44">
      <c r="A44" s="1"/>
      <c r="B44" s="14">
        <v>8.0</v>
      </c>
      <c r="C44" s="14" t="s">
        <v>34</v>
      </c>
      <c r="D44" s="14" t="s">
        <v>34</v>
      </c>
      <c r="E44" s="14" t="s">
        <v>34</v>
      </c>
      <c r="F44" s="14" t="s">
        <v>34</v>
      </c>
      <c r="G44" s="14" t="s">
        <v>34</v>
      </c>
      <c r="H44" s="14">
        <v>4.02</v>
      </c>
      <c r="I44" s="14">
        <v>3.85</v>
      </c>
      <c r="J44" s="14">
        <v>3.43</v>
      </c>
      <c r="K44" s="14">
        <v>3.77</v>
      </c>
      <c r="L44" s="14">
        <v>1.59</v>
      </c>
    </row>
    <row r="45">
      <c r="A45" s="1"/>
      <c r="B45" s="14">
        <v>10.0</v>
      </c>
      <c r="C45" s="14" t="s">
        <v>34</v>
      </c>
      <c r="D45" s="14" t="s">
        <v>34</v>
      </c>
      <c r="E45" s="14" t="s">
        <v>34</v>
      </c>
      <c r="F45" s="14" t="s">
        <v>34</v>
      </c>
      <c r="G45" s="14" t="s">
        <v>34</v>
      </c>
      <c r="H45" s="14">
        <v>4.63</v>
      </c>
      <c r="I45" s="14">
        <v>4.43</v>
      </c>
      <c r="J45" s="14">
        <v>4.33</v>
      </c>
      <c r="K45" s="14">
        <v>4.46</v>
      </c>
      <c r="L45" s="14">
        <v>1.79</v>
      </c>
    </row>
    <row r="46">
      <c r="A46" s="1"/>
      <c r="B46" s="14">
        <v>12.0</v>
      </c>
      <c r="C46" s="14" t="s">
        <v>34</v>
      </c>
      <c r="D46" s="14" t="s">
        <v>34</v>
      </c>
      <c r="E46" s="14" t="s">
        <v>34</v>
      </c>
      <c r="F46" s="14" t="s">
        <v>34</v>
      </c>
      <c r="G46" s="14" t="s">
        <v>34</v>
      </c>
      <c r="H46" s="14">
        <v>5.66</v>
      </c>
      <c r="I46" s="14">
        <v>5.56</v>
      </c>
      <c r="J46" s="14">
        <v>5.1</v>
      </c>
      <c r="K46" s="14">
        <v>5.44</v>
      </c>
      <c r="L46" s="14">
        <v>1.84</v>
      </c>
    </row>
    <row r="47">
      <c r="A47" s="1"/>
      <c r="B47" s="14">
        <v>14.0</v>
      </c>
      <c r="C47" s="14" t="s">
        <v>34</v>
      </c>
      <c r="D47" s="14" t="s">
        <v>34</v>
      </c>
      <c r="E47" s="14" t="s">
        <v>34</v>
      </c>
      <c r="F47" s="14" t="s">
        <v>34</v>
      </c>
      <c r="G47" s="14" t="s">
        <v>34</v>
      </c>
      <c r="H47" s="14">
        <v>6.29</v>
      </c>
      <c r="I47" s="14">
        <v>6.6</v>
      </c>
      <c r="J47" s="14">
        <v>6.37</v>
      </c>
      <c r="K47" s="14">
        <v>6.42</v>
      </c>
      <c r="L47" s="14">
        <v>1.87</v>
      </c>
    </row>
    <row r="48">
      <c r="A48" s="1"/>
      <c r="B48" s="14" t="s">
        <v>35</v>
      </c>
      <c r="C48" s="14" t="s">
        <v>36</v>
      </c>
      <c r="D48" s="14" t="s">
        <v>37</v>
      </c>
      <c r="E48" s="14" t="s">
        <v>38</v>
      </c>
      <c r="F48" s="14" t="s">
        <v>39</v>
      </c>
      <c r="G48" s="14">
        <v>2.61</v>
      </c>
      <c r="H48" s="14" t="s">
        <v>40</v>
      </c>
      <c r="I48" s="14" t="s">
        <v>41</v>
      </c>
      <c r="J48" s="14" t="s">
        <v>42</v>
      </c>
      <c r="K48" s="14" t="s">
        <v>43</v>
      </c>
      <c r="L48" s="14">
        <v>2.17</v>
      </c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>
      <c r="A50" s="1"/>
      <c r="B50" s="21" t="s">
        <v>44</v>
      </c>
      <c r="C50" s="22"/>
      <c r="D50" s="22"/>
      <c r="E50" s="23"/>
      <c r="F50" s="1"/>
      <c r="G50" s="1"/>
      <c r="H50" s="1"/>
      <c r="I50" s="1"/>
      <c r="J50" s="1"/>
      <c r="K50" s="1"/>
      <c r="L50" s="1"/>
    </row>
    <row r="51">
      <c r="A51" s="1"/>
      <c r="B51" s="24" t="s">
        <v>45</v>
      </c>
      <c r="C51" s="8" t="s">
        <v>46</v>
      </c>
      <c r="D51" s="24" t="s">
        <v>47</v>
      </c>
      <c r="E51" s="24" t="s">
        <v>48</v>
      </c>
      <c r="F51" s="1"/>
      <c r="G51" s="1"/>
      <c r="H51" s="1"/>
      <c r="I51" s="1"/>
      <c r="J51" s="1"/>
      <c r="K51" s="1"/>
      <c r="L51" s="1"/>
    </row>
    <row r="52">
      <c r="A52" s="1"/>
      <c r="B52" s="14">
        <v>1.0</v>
      </c>
      <c r="C52" s="14">
        <v>7.16</v>
      </c>
      <c r="D52" s="14">
        <v>14.65</v>
      </c>
      <c r="E52" s="14" t="s">
        <v>49</v>
      </c>
      <c r="F52" s="1"/>
      <c r="G52" s="1"/>
      <c r="H52" s="1"/>
      <c r="I52" s="1"/>
      <c r="J52" s="1"/>
      <c r="K52" s="1"/>
      <c r="L52" s="1"/>
    </row>
    <row r="53">
      <c r="A53" s="1"/>
      <c r="B53" s="14">
        <v>2.0</v>
      </c>
      <c r="C53" s="14">
        <v>6.67</v>
      </c>
      <c r="D53" s="14">
        <v>19.26</v>
      </c>
      <c r="E53" s="14" t="s">
        <v>50</v>
      </c>
      <c r="F53" s="1"/>
      <c r="G53" s="1"/>
      <c r="H53" s="1"/>
      <c r="I53" s="1"/>
      <c r="J53" s="1"/>
      <c r="K53" s="1"/>
      <c r="L53" s="1"/>
    </row>
    <row r="54">
      <c r="A54" s="1"/>
      <c r="B54" s="14">
        <v>3.0</v>
      </c>
      <c r="C54" s="14">
        <v>6.95</v>
      </c>
      <c r="D54" s="14">
        <v>18.9</v>
      </c>
      <c r="E54" s="14" t="s">
        <v>51</v>
      </c>
      <c r="F54" s="1"/>
      <c r="G54" s="1"/>
      <c r="H54" s="1"/>
      <c r="I54" s="1"/>
      <c r="J54" s="1"/>
      <c r="K54" s="1"/>
      <c r="L54" s="1"/>
    </row>
    <row r="55">
      <c r="A55" s="1"/>
      <c r="B55" s="25" t="s">
        <v>52</v>
      </c>
      <c r="C55" s="25">
        <v>6.93</v>
      </c>
      <c r="D55" s="25">
        <v>17.6</v>
      </c>
      <c r="E55" s="25" t="s">
        <v>53</v>
      </c>
      <c r="F55" s="1"/>
      <c r="G55" s="1"/>
      <c r="H55" s="1"/>
      <c r="I55" s="1"/>
      <c r="J55" s="1"/>
      <c r="K55" s="1"/>
      <c r="L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>
      <c r="A57" s="1"/>
      <c r="B57" s="3" t="s">
        <v>54</v>
      </c>
      <c r="H57" s="1"/>
      <c r="I57" s="1"/>
      <c r="J57" s="1"/>
      <c r="K57" s="1"/>
      <c r="L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>
      <c r="A59" s="1"/>
      <c r="B59" s="8" t="s">
        <v>55</v>
      </c>
      <c r="C59" s="8" t="s">
        <v>56</v>
      </c>
      <c r="D59" s="8" t="s">
        <v>57</v>
      </c>
      <c r="E59" s="8" t="s">
        <v>58</v>
      </c>
      <c r="F59" s="8" t="s">
        <v>59</v>
      </c>
      <c r="G59" s="9" t="s">
        <v>60</v>
      </c>
      <c r="H59" s="26"/>
      <c r="I59" s="1"/>
      <c r="J59" s="1"/>
      <c r="K59" s="1"/>
      <c r="L59" s="1"/>
    </row>
    <row r="60">
      <c r="A60" s="1"/>
      <c r="B60" s="14">
        <v>1.0</v>
      </c>
      <c r="C60" s="14">
        <v>3.64</v>
      </c>
      <c r="D60" s="14">
        <v>0.371</v>
      </c>
      <c r="E60" s="14">
        <v>0.36</v>
      </c>
      <c r="F60" s="27">
        <f t="shared" ref="F60:F64" si="5">E60*5</f>
        <v>1.8</v>
      </c>
      <c r="G60" s="15">
        <f t="shared" ref="G60:G64" si="6">IFERROR(C60/F60, "")</f>
        <v>2.022222222</v>
      </c>
      <c r="H60" s="28"/>
      <c r="I60" s="1"/>
      <c r="J60" s="1"/>
      <c r="K60" s="1"/>
      <c r="L60" s="1"/>
    </row>
    <row r="61">
      <c r="A61" s="1"/>
      <c r="B61" s="14">
        <v>2.0</v>
      </c>
      <c r="C61" s="14">
        <v>3.42</v>
      </c>
      <c r="D61" s="14">
        <v>0.375</v>
      </c>
      <c r="E61" s="14">
        <v>0.37</v>
      </c>
      <c r="F61" s="27">
        <f t="shared" si="5"/>
        <v>1.85</v>
      </c>
      <c r="G61" s="15">
        <f t="shared" si="6"/>
        <v>1.848648649</v>
      </c>
      <c r="H61" s="28"/>
      <c r="I61" s="1"/>
      <c r="J61" s="1"/>
      <c r="K61" s="1"/>
      <c r="L61" s="1"/>
    </row>
    <row r="62">
      <c r="A62" s="1"/>
      <c r="B62" s="14">
        <v>3.0</v>
      </c>
      <c r="C62" s="14">
        <v>3.29</v>
      </c>
      <c r="D62" s="14">
        <v>0.372</v>
      </c>
      <c r="E62" s="14">
        <v>0.369</v>
      </c>
      <c r="F62" s="27">
        <f t="shared" si="5"/>
        <v>1.845</v>
      </c>
      <c r="G62" s="15">
        <f t="shared" si="6"/>
        <v>1.783197832</v>
      </c>
      <c r="H62" s="28"/>
      <c r="I62" s="1"/>
      <c r="J62" s="1"/>
      <c r="K62" s="1"/>
      <c r="L62" s="1"/>
    </row>
    <row r="63">
      <c r="A63" s="1"/>
      <c r="B63" s="14">
        <v>4.0</v>
      </c>
      <c r="C63" s="14">
        <v>3.26</v>
      </c>
      <c r="D63" s="14">
        <v>0.372</v>
      </c>
      <c r="E63" s="14">
        <v>0.37</v>
      </c>
      <c r="F63" s="27">
        <f t="shared" si="5"/>
        <v>1.85</v>
      </c>
      <c r="G63" s="15">
        <f t="shared" si="6"/>
        <v>1.762162162</v>
      </c>
      <c r="H63" s="28"/>
      <c r="I63" s="1"/>
      <c r="J63" s="1"/>
      <c r="K63" s="1"/>
      <c r="L63" s="1"/>
    </row>
    <row r="64">
      <c r="A64" s="1"/>
      <c r="B64" s="14">
        <v>5.0</v>
      </c>
      <c r="C64" s="14">
        <v>3.9</v>
      </c>
      <c r="D64" s="14">
        <v>0.371</v>
      </c>
      <c r="E64" s="14">
        <v>0.369</v>
      </c>
      <c r="F64" s="27">
        <f t="shared" si="5"/>
        <v>1.845</v>
      </c>
      <c r="G64" s="15">
        <f t="shared" si="6"/>
        <v>2.113821138</v>
      </c>
      <c r="H64" s="28"/>
      <c r="I64" s="1"/>
      <c r="J64" s="1"/>
      <c r="K64" s="1"/>
      <c r="L64" s="1"/>
    </row>
    <row r="65">
      <c r="A65" s="1"/>
      <c r="B65" s="29" t="s">
        <v>61</v>
      </c>
      <c r="C65" s="29" t="s">
        <v>62</v>
      </c>
      <c r="D65" s="29" t="s">
        <v>63</v>
      </c>
      <c r="E65" s="30" t="s">
        <v>64</v>
      </c>
      <c r="F65" s="12" t="s">
        <v>65</v>
      </c>
      <c r="G65" s="31" t="s">
        <v>66</v>
      </c>
      <c r="H65" s="28"/>
      <c r="I65" s="1"/>
      <c r="J65" s="1"/>
      <c r="K65" s="1"/>
      <c r="L65" s="1"/>
    </row>
    <row r="66">
      <c r="A66" s="1"/>
      <c r="B66" s="6">
        <v>1.0</v>
      </c>
      <c r="C66" s="6">
        <v>9.07</v>
      </c>
      <c r="D66" s="6">
        <v>0.362</v>
      </c>
      <c r="E66" s="32">
        <v>0.36</v>
      </c>
      <c r="F66" s="27">
        <f t="shared" ref="F66:F70" si="7">E66*5</f>
        <v>1.8</v>
      </c>
      <c r="G66" s="15">
        <f t="shared" ref="G66:G70" si="8">IFERROR(C66/F66, "")</f>
        <v>5.038888889</v>
      </c>
      <c r="H66" s="28"/>
      <c r="I66" s="1"/>
      <c r="J66" s="1"/>
      <c r="K66" s="1"/>
      <c r="L66" s="1"/>
    </row>
    <row r="67">
      <c r="A67" s="1"/>
      <c r="B67" s="6">
        <v>2.0</v>
      </c>
      <c r="C67" s="6">
        <v>9.08</v>
      </c>
      <c r="D67" s="6">
        <v>0.364</v>
      </c>
      <c r="E67" s="32">
        <v>0.362</v>
      </c>
      <c r="F67" s="27">
        <f t="shared" si="7"/>
        <v>1.81</v>
      </c>
      <c r="G67" s="15">
        <f t="shared" si="8"/>
        <v>5.016574586</v>
      </c>
      <c r="H67" s="28"/>
      <c r="I67" s="1"/>
      <c r="J67" s="1"/>
      <c r="K67" s="1"/>
      <c r="L67" s="1"/>
    </row>
    <row r="68">
      <c r="A68" s="1"/>
      <c r="B68" s="6">
        <v>3.0</v>
      </c>
      <c r="C68" s="6">
        <v>9.63</v>
      </c>
      <c r="D68" s="6">
        <v>0.364</v>
      </c>
      <c r="E68" s="32">
        <v>0.361</v>
      </c>
      <c r="F68" s="27">
        <f t="shared" si="7"/>
        <v>1.805</v>
      </c>
      <c r="G68" s="15">
        <f t="shared" si="8"/>
        <v>5.335180055</v>
      </c>
      <c r="H68" s="28"/>
      <c r="I68" s="1"/>
      <c r="J68" s="1"/>
      <c r="K68" s="1"/>
      <c r="L68" s="1"/>
    </row>
    <row r="69">
      <c r="A69" s="1"/>
      <c r="B69" s="6">
        <v>4.0</v>
      </c>
      <c r="C69" s="6">
        <v>8.92</v>
      </c>
      <c r="D69" s="6">
        <v>0.367</v>
      </c>
      <c r="E69" s="32">
        <v>0.364</v>
      </c>
      <c r="F69" s="27">
        <f t="shared" si="7"/>
        <v>1.82</v>
      </c>
      <c r="G69" s="15">
        <f t="shared" si="8"/>
        <v>4.901098901</v>
      </c>
      <c r="H69" s="28"/>
      <c r="I69" s="1"/>
      <c r="J69" s="1"/>
      <c r="K69" s="1"/>
      <c r="L69" s="1"/>
    </row>
    <row r="70">
      <c r="A70" s="1"/>
      <c r="B70" s="6">
        <v>5.0</v>
      </c>
      <c r="C70" s="6">
        <v>8.92</v>
      </c>
      <c r="D70" s="6">
        <v>0.366</v>
      </c>
      <c r="E70" s="32">
        <v>0.363</v>
      </c>
      <c r="F70" s="27">
        <f t="shared" si="7"/>
        <v>1.815</v>
      </c>
      <c r="G70" s="15">
        <f t="shared" si="8"/>
        <v>4.914600551</v>
      </c>
      <c r="H70" s="28"/>
      <c r="I70" s="1"/>
      <c r="J70" s="1"/>
      <c r="K70" s="1"/>
      <c r="L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>
      <c r="A72" s="1"/>
      <c r="B72" s="3" t="s">
        <v>67</v>
      </c>
      <c r="H72" s="1"/>
      <c r="I72" s="1"/>
      <c r="J72" s="1"/>
      <c r="K72" s="1"/>
      <c r="L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>
      <c r="A74" s="1"/>
      <c r="B74" s="4" t="s">
        <v>2</v>
      </c>
      <c r="C74" s="4" t="s">
        <v>3</v>
      </c>
      <c r="D74" s="5" t="s">
        <v>4</v>
      </c>
      <c r="E74" s="4" t="s">
        <v>68</v>
      </c>
      <c r="F74" s="1"/>
      <c r="G74" s="1"/>
      <c r="H74" s="1"/>
      <c r="I74" s="1"/>
      <c r="J74" s="1"/>
      <c r="K74" s="1"/>
      <c r="L74" s="1"/>
    </row>
    <row r="75">
      <c r="A75" s="1"/>
      <c r="B75" s="6" t="s">
        <v>69</v>
      </c>
      <c r="C75" s="6" t="s">
        <v>70</v>
      </c>
      <c r="D75" s="6" t="s">
        <v>71</v>
      </c>
      <c r="E75" s="32" t="s">
        <v>72</v>
      </c>
      <c r="F75" s="33"/>
      <c r="G75" s="34"/>
      <c r="H75" s="1"/>
      <c r="I75" s="1"/>
      <c r="J75" s="1"/>
      <c r="K75" s="1"/>
      <c r="L75" s="1"/>
    </row>
    <row r="76">
      <c r="A76" s="1"/>
      <c r="B76" s="6" t="s">
        <v>73</v>
      </c>
      <c r="C76" s="6" t="s">
        <v>74</v>
      </c>
      <c r="D76" s="6" t="s">
        <v>75</v>
      </c>
      <c r="E76" s="35"/>
      <c r="F76" s="1"/>
      <c r="G76" s="1"/>
      <c r="H76" s="1"/>
      <c r="I76" s="1"/>
      <c r="J76" s="1"/>
      <c r="K76" s="1"/>
      <c r="L76" s="1"/>
    </row>
    <row r="77">
      <c r="A77" s="1"/>
      <c r="B77" s="6" t="s">
        <v>76</v>
      </c>
      <c r="C77" s="6" t="s">
        <v>77</v>
      </c>
      <c r="D77" s="6" t="s">
        <v>78</v>
      </c>
      <c r="E77" s="6" t="s">
        <v>79</v>
      </c>
      <c r="F77" s="1"/>
      <c r="G77" s="1"/>
      <c r="H77" s="1"/>
      <c r="I77" s="1"/>
      <c r="J77" s="1"/>
      <c r="K77" s="1"/>
      <c r="L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>
      <c r="A80" s="1"/>
      <c r="B80" s="3" t="s">
        <v>80</v>
      </c>
      <c r="H80" s="1"/>
      <c r="I80" s="1"/>
      <c r="J80" s="1"/>
      <c r="K80" s="1"/>
      <c r="L80" s="1"/>
    </row>
    <row r="81">
      <c r="A81" s="1"/>
      <c r="B81" s="1"/>
      <c r="C81" s="7" t="s">
        <v>81</v>
      </c>
      <c r="E81" s="1"/>
      <c r="F81" s="1"/>
      <c r="G81" s="1"/>
      <c r="H81" s="1"/>
      <c r="I81" s="1"/>
      <c r="J81" s="1"/>
      <c r="K81" s="1"/>
      <c r="L81" s="1"/>
    </row>
    <row r="82">
      <c r="A82" s="1"/>
      <c r="B82" s="4" t="s">
        <v>82</v>
      </c>
      <c r="C82" s="4" t="s">
        <v>83</v>
      </c>
      <c r="D82" s="5" t="s">
        <v>84</v>
      </c>
      <c r="E82" s="1"/>
      <c r="F82" s="1"/>
      <c r="G82" s="1"/>
      <c r="H82" s="1"/>
      <c r="I82" s="1"/>
      <c r="J82" s="1"/>
      <c r="K82" s="1"/>
      <c r="L82" s="1"/>
    </row>
    <row r="83">
      <c r="A83" s="1"/>
      <c r="B83" s="13">
        <v>0.0</v>
      </c>
      <c r="C83" s="6">
        <v>7.48</v>
      </c>
      <c r="D83" s="6">
        <v>5.74</v>
      </c>
      <c r="E83" s="1"/>
      <c r="F83" s="1"/>
      <c r="G83" s="1"/>
      <c r="H83" s="1"/>
      <c r="I83" s="1"/>
      <c r="J83" s="1"/>
      <c r="K83" s="1"/>
      <c r="L83" s="1"/>
    </row>
    <row r="84">
      <c r="A84" s="1"/>
      <c r="B84" s="13">
        <v>100.0</v>
      </c>
      <c r="C84" s="6">
        <v>6.22</v>
      </c>
      <c r="D84" s="6">
        <v>5.2</v>
      </c>
      <c r="E84" s="1"/>
      <c r="F84" s="1"/>
      <c r="G84" s="1"/>
      <c r="H84" s="1"/>
      <c r="I84" s="1"/>
      <c r="J84" s="1"/>
      <c r="K84" s="1"/>
      <c r="L84" s="1"/>
    </row>
    <row r="85">
      <c r="A85" s="1"/>
      <c r="B85" s="13">
        <v>200.0</v>
      </c>
      <c r="C85" s="6">
        <v>7.44</v>
      </c>
      <c r="D85" s="6">
        <v>5.14</v>
      </c>
      <c r="E85" s="1"/>
      <c r="F85" s="1"/>
      <c r="G85" s="1"/>
      <c r="H85" s="1"/>
      <c r="I85" s="1"/>
      <c r="J85" s="1"/>
      <c r="K85" s="1"/>
      <c r="L85" s="1"/>
    </row>
    <row r="86">
      <c r="A86" s="1"/>
      <c r="B86" s="13">
        <v>300.0</v>
      </c>
      <c r="C86" s="6">
        <v>6.72</v>
      </c>
      <c r="D86" s="6">
        <v>5.16</v>
      </c>
      <c r="E86" s="1"/>
      <c r="F86" s="1"/>
      <c r="G86" s="1"/>
      <c r="H86" s="1"/>
      <c r="I86" s="1"/>
      <c r="J86" s="1"/>
      <c r="K86" s="1"/>
      <c r="L86" s="1"/>
    </row>
    <row r="87">
      <c r="A87" s="1"/>
      <c r="B87" s="13">
        <v>400.0</v>
      </c>
      <c r="C87" s="6">
        <v>7.1</v>
      </c>
      <c r="D87" s="6">
        <v>5.08</v>
      </c>
      <c r="E87" s="1"/>
      <c r="F87" s="1"/>
      <c r="G87" s="1"/>
      <c r="H87" s="1"/>
      <c r="I87" s="1"/>
      <c r="J87" s="1"/>
      <c r="K87" s="1"/>
      <c r="L87" s="1"/>
    </row>
    <row r="88">
      <c r="A88" s="1"/>
      <c r="B88" s="13">
        <v>500.0</v>
      </c>
      <c r="C88" s="6">
        <v>6.95</v>
      </c>
      <c r="D88" s="6">
        <v>4.71</v>
      </c>
      <c r="E88" s="1"/>
      <c r="F88" s="1"/>
      <c r="G88" s="1"/>
      <c r="H88" s="1"/>
      <c r="I88" s="1"/>
      <c r="J88" s="1"/>
      <c r="K88" s="1"/>
      <c r="L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>
      <c r="A91" s="1"/>
      <c r="B91" s="4" t="s">
        <v>2</v>
      </c>
      <c r="C91" s="4" t="s">
        <v>3</v>
      </c>
      <c r="D91" s="5" t="s">
        <v>4</v>
      </c>
      <c r="E91" s="4" t="s">
        <v>68</v>
      </c>
      <c r="F91" s="1"/>
      <c r="G91" s="1"/>
      <c r="H91" s="1"/>
      <c r="I91" s="1"/>
      <c r="J91" s="1"/>
      <c r="K91" s="1"/>
      <c r="L91" s="1"/>
    </row>
    <row r="92">
      <c r="A92" s="1"/>
      <c r="B92" s="6" t="s">
        <v>85</v>
      </c>
      <c r="C92" s="6">
        <v>2.0</v>
      </c>
      <c r="D92" s="6">
        <v>7.0</v>
      </c>
      <c r="E92" s="35"/>
      <c r="F92" s="1"/>
      <c r="G92" s="1"/>
      <c r="H92" s="1"/>
      <c r="I92" s="1"/>
      <c r="J92" s="1"/>
      <c r="K92" s="1"/>
      <c r="L92" s="1"/>
    </row>
    <row r="93">
      <c r="A93" s="1"/>
      <c r="B93" s="6" t="s">
        <v>86</v>
      </c>
      <c r="C93" s="6" t="s">
        <v>87</v>
      </c>
      <c r="D93" s="6" t="s">
        <v>88</v>
      </c>
      <c r="E93" s="32" t="s">
        <v>89</v>
      </c>
      <c r="F93" s="36"/>
      <c r="G93" s="33"/>
      <c r="H93" s="34"/>
      <c r="I93" s="1"/>
      <c r="J93" s="1"/>
      <c r="K93" s="1"/>
      <c r="L93" s="1"/>
    </row>
    <row r="94">
      <c r="A94" s="1"/>
      <c r="B94" s="6" t="s">
        <v>90</v>
      </c>
      <c r="C94" s="6">
        <v>54.67</v>
      </c>
      <c r="D94" s="37">
        <v>52.91</v>
      </c>
      <c r="E94" s="35"/>
      <c r="F94" s="1"/>
      <c r="G94" s="1"/>
      <c r="H94" s="1"/>
      <c r="I94" s="1"/>
      <c r="J94" s="1"/>
      <c r="K94" s="1"/>
      <c r="L94" s="1"/>
    </row>
    <row r="95">
      <c r="A95" s="1"/>
      <c r="B95" s="6" t="s">
        <v>91</v>
      </c>
      <c r="C95" s="6">
        <v>1.53</v>
      </c>
      <c r="D95" s="6">
        <v>1.48</v>
      </c>
      <c r="E95" s="6" t="s">
        <v>92</v>
      </c>
      <c r="F95" s="1"/>
      <c r="G95" s="1"/>
      <c r="H95" s="1"/>
      <c r="I95" s="1"/>
      <c r="J95" s="1"/>
      <c r="K95" s="1"/>
      <c r="L95" s="1"/>
    </row>
    <row r="96">
      <c r="A96" s="1"/>
      <c r="B96" s="6" t="s">
        <v>93</v>
      </c>
      <c r="C96" s="6" t="s">
        <v>94</v>
      </c>
      <c r="D96" s="6" t="s">
        <v>95</v>
      </c>
      <c r="E96" s="6" t="s">
        <v>96</v>
      </c>
      <c r="F96" s="1"/>
      <c r="G96" s="1"/>
      <c r="H96" s="1"/>
      <c r="I96" s="1"/>
      <c r="J96" s="1"/>
      <c r="K96" s="1"/>
      <c r="L96" s="1"/>
    </row>
    <row r="97">
      <c r="A97" s="1"/>
      <c r="B97" s="38" t="s">
        <v>97</v>
      </c>
      <c r="C97" s="38" t="s">
        <v>98</v>
      </c>
      <c r="D97" s="38" t="s">
        <v>99</v>
      </c>
      <c r="E97" s="39"/>
      <c r="F97" s="1"/>
      <c r="G97" s="1"/>
      <c r="H97" s="1"/>
      <c r="I97" s="1"/>
      <c r="J97" s="1"/>
      <c r="K97" s="1"/>
      <c r="L97" s="1"/>
    </row>
    <row r="98">
      <c r="A98" s="1"/>
      <c r="B98" s="14" t="s">
        <v>100</v>
      </c>
      <c r="C98" s="14" t="s">
        <v>101</v>
      </c>
      <c r="D98" s="14" t="s">
        <v>102</v>
      </c>
      <c r="E98" s="27"/>
      <c r="F98" s="1"/>
      <c r="G98" s="1"/>
      <c r="H98" s="1"/>
      <c r="I98" s="1"/>
      <c r="J98" s="1"/>
      <c r="K98" s="1"/>
      <c r="L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>
      <c r="A100" s="1"/>
      <c r="B100" s="3" t="s">
        <v>103</v>
      </c>
      <c r="I100" s="1"/>
      <c r="J100" s="1"/>
      <c r="K100" s="1"/>
      <c r="L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>
      <c r="A102" s="1"/>
      <c r="B102" s="4" t="s">
        <v>104</v>
      </c>
      <c r="C102" s="4" t="s">
        <v>45</v>
      </c>
      <c r="D102" s="4" t="s">
        <v>105</v>
      </c>
      <c r="E102" s="4" t="s">
        <v>57</v>
      </c>
      <c r="F102" s="4" t="s">
        <v>106</v>
      </c>
      <c r="G102" s="4" t="s">
        <v>107</v>
      </c>
      <c r="H102" s="4" t="s">
        <v>60</v>
      </c>
      <c r="I102" s="1"/>
      <c r="J102" s="1"/>
      <c r="K102" s="1"/>
      <c r="L102" s="1"/>
    </row>
    <row r="103">
      <c r="A103" s="1"/>
      <c r="B103" s="40" t="s">
        <v>108</v>
      </c>
      <c r="C103" s="41">
        <v>1.0</v>
      </c>
      <c r="D103" s="42">
        <v>22.13</v>
      </c>
      <c r="E103" s="40">
        <v>0.458</v>
      </c>
      <c r="F103" s="40">
        <v>5.155</v>
      </c>
      <c r="G103" s="43">
        <f t="shared" ref="G103:G117" si="9">E103*F103</f>
        <v>2.36099</v>
      </c>
      <c r="H103" s="43">
        <f t="shared" ref="H103:H117" si="10">IFERROR(D103/G103, 0)</f>
        <v>9.373186672</v>
      </c>
      <c r="I103" s="1"/>
      <c r="J103" s="1"/>
      <c r="K103" s="1"/>
      <c r="L103" s="1"/>
    </row>
    <row r="104">
      <c r="A104" s="1"/>
      <c r="B104" s="40" t="s">
        <v>108</v>
      </c>
      <c r="C104" s="41">
        <v>2.0</v>
      </c>
      <c r="D104" s="42">
        <v>21.53</v>
      </c>
      <c r="E104" s="40">
        <v>0.462</v>
      </c>
      <c r="F104" s="40">
        <v>5.098</v>
      </c>
      <c r="G104" s="43">
        <f t="shared" si="9"/>
        <v>2.355276</v>
      </c>
      <c r="H104" s="43">
        <f t="shared" si="10"/>
        <v>9.141179208</v>
      </c>
      <c r="I104" s="1"/>
      <c r="J104" s="1"/>
      <c r="K104" s="1"/>
      <c r="L104" s="1"/>
    </row>
    <row r="105">
      <c r="A105" s="1"/>
      <c r="B105" s="40" t="s">
        <v>108</v>
      </c>
      <c r="C105" s="41">
        <v>3.0</v>
      </c>
      <c r="D105" s="42">
        <v>21.26</v>
      </c>
      <c r="E105" s="40">
        <v>0.458</v>
      </c>
      <c r="F105" s="40">
        <v>5.147</v>
      </c>
      <c r="G105" s="43">
        <f t="shared" si="9"/>
        <v>2.357326</v>
      </c>
      <c r="H105" s="43">
        <f t="shared" si="10"/>
        <v>9.018693214</v>
      </c>
      <c r="I105" s="1"/>
      <c r="J105" s="1"/>
      <c r="K105" s="1"/>
      <c r="L105" s="1"/>
    </row>
    <row r="106">
      <c r="A106" s="1"/>
      <c r="B106" s="40" t="s">
        <v>108</v>
      </c>
      <c r="C106" s="41">
        <v>4.0</v>
      </c>
      <c r="D106" s="42">
        <v>21.21</v>
      </c>
      <c r="E106" s="40">
        <v>0.458</v>
      </c>
      <c r="F106" s="40">
        <v>5.138</v>
      </c>
      <c r="G106" s="43">
        <f t="shared" si="9"/>
        <v>2.353204</v>
      </c>
      <c r="H106" s="43">
        <f t="shared" si="10"/>
        <v>9.013243221</v>
      </c>
      <c r="I106" s="1"/>
      <c r="J106" s="1"/>
      <c r="K106" s="1"/>
      <c r="L106" s="1"/>
    </row>
    <row r="107">
      <c r="A107" s="1"/>
      <c r="B107" s="40" t="s">
        <v>108</v>
      </c>
      <c r="C107" s="41">
        <v>5.0</v>
      </c>
      <c r="D107" s="42">
        <v>21.3</v>
      </c>
      <c r="E107" s="40">
        <v>0.455</v>
      </c>
      <c r="F107" s="40">
        <v>5.138</v>
      </c>
      <c r="G107" s="43">
        <f t="shared" si="9"/>
        <v>2.33779</v>
      </c>
      <c r="H107" s="43">
        <f t="shared" si="10"/>
        <v>9.111169096</v>
      </c>
      <c r="I107" s="1"/>
      <c r="J107" s="1"/>
      <c r="K107" s="1"/>
      <c r="L107" s="1"/>
    </row>
    <row r="108">
      <c r="A108" s="1"/>
      <c r="B108" s="44" t="s">
        <v>109</v>
      </c>
      <c r="C108" s="45">
        <v>1.0</v>
      </c>
      <c r="D108" s="46">
        <v>27.49</v>
      </c>
      <c r="E108" s="44">
        <v>0.455</v>
      </c>
      <c r="F108" s="44">
        <v>5.122</v>
      </c>
      <c r="G108" s="47">
        <f t="shared" si="9"/>
        <v>2.33051</v>
      </c>
      <c r="H108" s="47">
        <f t="shared" si="10"/>
        <v>11.79570137</v>
      </c>
      <c r="I108" s="1"/>
      <c r="J108" s="1"/>
      <c r="K108" s="1"/>
      <c r="L108" s="1"/>
    </row>
    <row r="109">
      <c r="A109" s="1"/>
      <c r="B109" s="44" t="s">
        <v>109</v>
      </c>
      <c r="C109" s="45">
        <v>2.0</v>
      </c>
      <c r="D109" s="46">
        <v>26.77</v>
      </c>
      <c r="E109" s="44">
        <v>0.455</v>
      </c>
      <c r="F109" s="44">
        <v>5.138</v>
      </c>
      <c r="G109" s="47">
        <f t="shared" si="9"/>
        <v>2.33779</v>
      </c>
      <c r="H109" s="47">
        <f t="shared" si="10"/>
        <v>11.45098576</v>
      </c>
      <c r="I109" s="1"/>
      <c r="J109" s="1"/>
      <c r="K109" s="1"/>
      <c r="L109" s="1"/>
    </row>
    <row r="110">
      <c r="A110" s="1"/>
      <c r="B110" s="44" t="s">
        <v>109</v>
      </c>
      <c r="C110" s="45">
        <v>3.0</v>
      </c>
      <c r="D110" s="46">
        <v>26.68</v>
      </c>
      <c r="E110" s="44">
        <v>0.455</v>
      </c>
      <c r="F110" s="44">
        <v>5.147</v>
      </c>
      <c r="G110" s="47">
        <f t="shared" si="9"/>
        <v>2.341885</v>
      </c>
      <c r="H110" s="47">
        <f t="shared" si="10"/>
        <v>11.39253208</v>
      </c>
      <c r="I110" s="1"/>
      <c r="J110" s="1"/>
      <c r="K110" s="1"/>
      <c r="L110" s="1"/>
    </row>
    <row r="111">
      <c r="A111" s="1"/>
      <c r="B111" s="44" t="s">
        <v>109</v>
      </c>
      <c r="C111" s="45">
        <v>4.0</v>
      </c>
      <c r="D111" s="46">
        <v>25.38</v>
      </c>
      <c r="E111" s="44">
        <v>0.447</v>
      </c>
      <c r="F111" s="44">
        <v>5.13</v>
      </c>
      <c r="G111" s="47">
        <f t="shared" si="9"/>
        <v>2.29311</v>
      </c>
      <c r="H111" s="47">
        <f t="shared" si="10"/>
        <v>11.0679383</v>
      </c>
      <c r="I111" s="1"/>
      <c r="J111" s="1"/>
      <c r="K111" s="1"/>
      <c r="L111" s="1"/>
    </row>
    <row r="112">
      <c r="A112" s="1"/>
      <c r="B112" s="44" t="s">
        <v>109</v>
      </c>
      <c r="C112" s="45">
        <v>5.0</v>
      </c>
      <c r="D112" s="46">
        <v>25.77</v>
      </c>
      <c r="E112" s="44">
        <v>0.451</v>
      </c>
      <c r="F112" s="44">
        <v>5.138</v>
      </c>
      <c r="G112" s="47">
        <f t="shared" si="9"/>
        <v>2.317238</v>
      </c>
      <c r="H112" s="47">
        <f t="shared" si="10"/>
        <v>11.12099836</v>
      </c>
      <c r="I112" s="1"/>
      <c r="J112" s="1"/>
      <c r="K112" s="1"/>
      <c r="L112" s="1"/>
    </row>
    <row r="113">
      <c r="A113" s="1"/>
      <c r="B113" s="48" t="s">
        <v>110</v>
      </c>
      <c r="C113" s="49">
        <v>1.0</v>
      </c>
      <c r="D113" s="50">
        <v>25.79</v>
      </c>
      <c r="E113" s="48">
        <v>0.458</v>
      </c>
      <c r="F113" s="48">
        <v>5.13</v>
      </c>
      <c r="G113" s="51">
        <f t="shared" si="9"/>
        <v>2.34954</v>
      </c>
      <c r="H113" s="51">
        <f t="shared" si="10"/>
        <v>10.9766167</v>
      </c>
      <c r="I113" s="1"/>
      <c r="J113" s="1"/>
      <c r="K113" s="1"/>
      <c r="L113" s="1"/>
    </row>
    <row r="114">
      <c r="A114" s="1"/>
      <c r="B114" s="48" t="s">
        <v>110</v>
      </c>
      <c r="C114" s="49">
        <v>2.0</v>
      </c>
      <c r="D114" s="50">
        <v>23.58</v>
      </c>
      <c r="E114" s="48">
        <v>0.455</v>
      </c>
      <c r="F114" s="48">
        <v>5.138</v>
      </c>
      <c r="G114" s="51">
        <f t="shared" si="9"/>
        <v>2.33779</v>
      </c>
      <c r="H114" s="51">
        <f t="shared" si="10"/>
        <v>10.08644917</v>
      </c>
      <c r="I114" s="1"/>
      <c r="J114" s="1"/>
      <c r="K114" s="1"/>
      <c r="L114" s="1"/>
    </row>
    <row r="115">
      <c r="A115" s="1"/>
      <c r="B115" s="48" t="s">
        <v>110</v>
      </c>
      <c r="C115" s="49">
        <v>3.0</v>
      </c>
      <c r="D115" s="50">
        <v>25.71</v>
      </c>
      <c r="E115" s="48">
        <v>0.451</v>
      </c>
      <c r="F115" s="48">
        <v>5.138</v>
      </c>
      <c r="G115" s="51">
        <f t="shared" si="9"/>
        <v>2.317238</v>
      </c>
      <c r="H115" s="51">
        <f t="shared" si="10"/>
        <v>11.09510547</v>
      </c>
      <c r="I115" s="1"/>
      <c r="J115" s="1"/>
      <c r="K115" s="1"/>
      <c r="L115" s="1"/>
    </row>
    <row r="116">
      <c r="A116" s="1"/>
      <c r="B116" s="48" t="s">
        <v>110</v>
      </c>
      <c r="C116" s="49">
        <v>4.0</v>
      </c>
      <c r="D116" s="50">
        <v>25.62</v>
      </c>
      <c r="E116" s="48">
        <v>0.458</v>
      </c>
      <c r="F116" s="48">
        <v>5.122</v>
      </c>
      <c r="G116" s="51">
        <f t="shared" si="9"/>
        <v>2.345876</v>
      </c>
      <c r="H116" s="51">
        <f t="shared" si="10"/>
        <v>10.92129337</v>
      </c>
      <c r="I116" s="1"/>
      <c r="J116" s="1"/>
      <c r="K116" s="1"/>
      <c r="L116" s="1"/>
    </row>
    <row r="117">
      <c r="A117" s="1"/>
      <c r="B117" s="48" t="s">
        <v>110</v>
      </c>
      <c r="C117" s="49">
        <v>5.0</v>
      </c>
      <c r="D117" s="50">
        <v>25.71</v>
      </c>
      <c r="E117" s="48">
        <v>0.455</v>
      </c>
      <c r="F117" s="48">
        <v>5.138</v>
      </c>
      <c r="G117" s="51">
        <f t="shared" si="9"/>
        <v>2.33779</v>
      </c>
      <c r="H117" s="51">
        <f t="shared" si="10"/>
        <v>10.99756608</v>
      </c>
      <c r="I117" s="1"/>
      <c r="J117" s="1"/>
      <c r="K117" s="1"/>
      <c r="L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>
      <c r="A120" s="1"/>
      <c r="B120" s="44" t="s">
        <v>111</v>
      </c>
      <c r="C120" s="45">
        <v>1.0</v>
      </c>
      <c r="D120" s="46">
        <v>33.23</v>
      </c>
      <c r="E120" s="44">
        <v>0.431</v>
      </c>
      <c r="F120" s="44">
        <v>5.138</v>
      </c>
      <c r="G120" s="47">
        <f t="shared" ref="G120:G124" si="11">E120*F120</f>
        <v>2.214478</v>
      </c>
      <c r="H120" s="47">
        <f t="shared" ref="H120:H124" si="12">IFERROR(D120/G120, 0)</f>
        <v>15.00579369</v>
      </c>
      <c r="I120" s="1"/>
      <c r="J120" s="1"/>
      <c r="K120" s="1"/>
      <c r="L120" s="1"/>
    </row>
    <row r="121">
      <c r="A121" s="1"/>
      <c r="B121" s="44" t="s">
        <v>111</v>
      </c>
      <c r="C121" s="45">
        <v>2.0</v>
      </c>
      <c r="D121" s="46">
        <v>31.86</v>
      </c>
      <c r="E121" s="44">
        <v>0.435</v>
      </c>
      <c r="F121" s="44">
        <v>5.138</v>
      </c>
      <c r="G121" s="47">
        <f t="shared" si="11"/>
        <v>2.23503</v>
      </c>
      <c r="H121" s="47">
        <f t="shared" si="12"/>
        <v>14.25484222</v>
      </c>
      <c r="I121" s="1"/>
      <c r="J121" s="1"/>
      <c r="K121" s="1"/>
      <c r="L121" s="1"/>
    </row>
    <row r="122">
      <c r="A122" s="1"/>
      <c r="B122" s="44" t="s">
        <v>111</v>
      </c>
      <c r="C122" s="45">
        <v>3.0</v>
      </c>
      <c r="D122" s="46">
        <v>31.96</v>
      </c>
      <c r="E122" s="44">
        <v>0.431</v>
      </c>
      <c r="F122" s="44">
        <v>5.163</v>
      </c>
      <c r="G122" s="47">
        <f t="shared" si="11"/>
        <v>2.225253</v>
      </c>
      <c r="H122" s="47">
        <f t="shared" si="12"/>
        <v>14.36241182</v>
      </c>
      <c r="I122" s="1"/>
      <c r="J122" s="1"/>
      <c r="K122" s="1"/>
      <c r="L122" s="1"/>
    </row>
    <row r="123">
      <c r="A123" s="1"/>
      <c r="B123" s="44" t="s">
        <v>111</v>
      </c>
      <c r="C123" s="45">
        <v>4.0</v>
      </c>
      <c r="D123" s="46">
        <v>32.51</v>
      </c>
      <c r="E123" s="44">
        <v>0.415</v>
      </c>
      <c r="F123" s="44">
        <v>5.155</v>
      </c>
      <c r="G123" s="47">
        <f t="shared" si="11"/>
        <v>2.139325</v>
      </c>
      <c r="H123" s="47">
        <f t="shared" si="12"/>
        <v>15.19638204</v>
      </c>
      <c r="I123" s="1"/>
      <c r="J123" s="1"/>
      <c r="K123" s="1"/>
      <c r="L123" s="1"/>
    </row>
    <row r="124">
      <c r="A124" s="1"/>
      <c r="B124" s="44" t="s">
        <v>111</v>
      </c>
      <c r="C124" s="45">
        <v>5.0</v>
      </c>
      <c r="D124" s="46">
        <v>26.66</v>
      </c>
      <c r="E124" s="44">
        <v>0.439</v>
      </c>
      <c r="F124" s="44">
        <v>5.163</v>
      </c>
      <c r="G124" s="47">
        <f t="shared" si="11"/>
        <v>2.266557</v>
      </c>
      <c r="H124" s="47">
        <f t="shared" si="12"/>
        <v>11.7623338</v>
      </c>
      <c r="I124" s="1"/>
      <c r="J124" s="1"/>
      <c r="K124" s="1"/>
      <c r="L124" s="1"/>
    </row>
    <row r="125">
      <c r="A125" s="1"/>
      <c r="B125" s="34"/>
      <c r="C125" s="52"/>
      <c r="D125" s="53"/>
      <c r="E125" s="34"/>
      <c r="F125" s="34"/>
      <c r="G125" s="1"/>
      <c r="H125" s="1"/>
      <c r="I125" s="1"/>
      <c r="J125" s="1"/>
      <c r="K125" s="1"/>
      <c r="L125" s="1"/>
    </row>
    <row r="126">
      <c r="A126" s="1"/>
      <c r="B126" s="54" t="s">
        <v>112</v>
      </c>
      <c r="C126" s="55">
        <v>1.0</v>
      </c>
      <c r="D126" s="56">
        <v>39.7</v>
      </c>
      <c r="E126" s="54">
        <v>0.474</v>
      </c>
      <c r="F126" s="54">
        <v>5.155</v>
      </c>
      <c r="G126" s="57">
        <f t="shared" ref="G126:G130" si="13">E126*F126</f>
        <v>2.44347</v>
      </c>
      <c r="H126" s="57">
        <f t="shared" ref="H126:H130" si="14">IFERROR(D126/G126, 0)</f>
        <v>16.24738589</v>
      </c>
      <c r="I126" s="1"/>
      <c r="J126" s="1"/>
      <c r="K126" s="1"/>
      <c r="L126" s="1"/>
    </row>
    <row r="127">
      <c r="A127" s="1"/>
      <c r="B127" s="54" t="s">
        <v>113</v>
      </c>
      <c r="C127" s="55">
        <v>2.0</v>
      </c>
      <c r="D127" s="56">
        <v>29.82</v>
      </c>
      <c r="E127" s="54">
        <v>0.478</v>
      </c>
      <c r="F127" s="54">
        <v>5.147</v>
      </c>
      <c r="G127" s="57">
        <f t="shared" si="13"/>
        <v>2.460266</v>
      </c>
      <c r="H127" s="57">
        <f t="shared" si="14"/>
        <v>12.12064061</v>
      </c>
      <c r="I127" s="1"/>
      <c r="J127" s="1"/>
      <c r="K127" s="1"/>
      <c r="L127" s="1"/>
    </row>
    <row r="128">
      <c r="A128" s="1"/>
      <c r="B128" s="54" t="s">
        <v>113</v>
      </c>
      <c r="C128" s="55">
        <v>3.0</v>
      </c>
      <c r="D128" s="56">
        <v>29.84</v>
      </c>
      <c r="E128" s="54">
        <v>0.462</v>
      </c>
      <c r="F128" s="54">
        <v>5.155</v>
      </c>
      <c r="G128" s="57">
        <f t="shared" si="13"/>
        <v>2.38161</v>
      </c>
      <c r="H128" s="57">
        <f t="shared" si="14"/>
        <v>12.5293394</v>
      </c>
      <c r="I128" s="1"/>
      <c r="J128" s="1"/>
      <c r="K128" s="1"/>
      <c r="L128" s="1"/>
    </row>
    <row r="129">
      <c r="A129" s="1"/>
      <c r="B129" s="54" t="s">
        <v>113</v>
      </c>
      <c r="C129" s="55">
        <v>4.0</v>
      </c>
      <c r="D129" s="56">
        <v>36.11</v>
      </c>
      <c r="E129" s="54">
        <v>0.458</v>
      </c>
      <c r="F129" s="54">
        <v>5.147</v>
      </c>
      <c r="G129" s="57">
        <f t="shared" si="13"/>
        <v>2.357326</v>
      </c>
      <c r="H129" s="57">
        <f t="shared" si="14"/>
        <v>15.31820376</v>
      </c>
      <c r="I129" s="1"/>
      <c r="J129" s="1"/>
      <c r="K129" s="1"/>
      <c r="L129" s="1"/>
    </row>
    <row r="130">
      <c r="A130" s="1"/>
      <c r="B130" s="54" t="s">
        <v>113</v>
      </c>
      <c r="C130" s="55">
        <v>5.0</v>
      </c>
      <c r="D130" s="56">
        <v>41.1</v>
      </c>
      <c r="E130" s="54">
        <v>0.462</v>
      </c>
      <c r="F130" s="54">
        <v>5.163</v>
      </c>
      <c r="G130" s="57">
        <f t="shared" si="13"/>
        <v>2.385306</v>
      </c>
      <c r="H130" s="57">
        <f t="shared" si="14"/>
        <v>17.2304937</v>
      </c>
      <c r="I130" s="1"/>
      <c r="J130" s="1"/>
      <c r="K130" s="1"/>
      <c r="L130" s="1"/>
    </row>
    <row r="131">
      <c r="A131" s="1"/>
      <c r="B131" s="34"/>
      <c r="C131" s="52"/>
      <c r="D131" s="53"/>
      <c r="E131" s="34"/>
      <c r="F131" s="34"/>
      <c r="G131" s="1"/>
      <c r="H131" s="1"/>
      <c r="I131" s="1"/>
      <c r="J131" s="1"/>
      <c r="K131" s="1"/>
      <c r="L131" s="1"/>
    </row>
    <row r="132">
      <c r="A132" s="1"/>
      <c r="B132" s="58" t="s">
        <v>114</v>
      </c>
      <c r="H132" s="1"/>
      <c r="I132" s="1"/>
      <c r="J132" s="1"/>
      <c r="K132" s="1"/>
      <c r="L132" s="1"/>
    </row>
    <row r="133">
      <c r="A133" s="1"/>
      <c r="B133" s="59"/>
      <c r="C133" s="60"/>
      <c r="D133" s="61"/>
      <c r="E133" s="59"/>
      <c r="F133" s="59"/>
      <c r="G133" s="60"/>
      <c r="H133" s="1"/>
      <c r="I133" s="1"/>
      <c r="J133" s="1"/>
      <c r="K133" s="1"/>
      <c r="L133" s="1"/>
    </row>
    <row r="134">
      <c r="A134" s="1"/>
      <c r="B134" s="62" t="s">
        <v>115</v>
      </c>
      <c r="C134" s="63" t="s">
        <v>116</v>
      </c>
      <c r="D134" s="62" t="s">
        <v>117</v>
      </c>
      <c r="E134" s="1"/>
      <c r="F134" s="1"/>
      <c r="G134" s="1"/>
      <c r="H134" s="1"/>
      <c r="I134" s="1"/>
    </row>
    <row r="135">
      <c r="A135" s="1"/>
      <c r="B135" s="64" t="s">
        <v>118</v>
      </c>
      <c r="C135" s="65">
        <v>100.0</v>
      </c>
      <c r="D135" s="65" t="s">
        <v>119</v>
      </c>
      <c r="E135" s="1"/>
      <c r="F135" s="1"/>
      <c r="G135" s="1"/>
      <c r="H135" s="1"/>
      <c r="I135" s="1"/>
    </row>
    <row r="136">
      <c r="A136" s="1"/>
      <c r="B136" s="64" t="s">
        <v>120</v>
      </c>
      <c r="C136" s="65">
        <v>100.0</v>
      </c>
      <c r="D136" s="65" t="s">
        <v>119</v>
      </c>
      <c r="E136" s="1"/>
      <c r="F136" s="1"/>
      <c r="G136" s="1"/>
      <c r="H136" s="1"/>
      <c r="I136" s="1"/>
    </row>
    <row r="137">
      <c r="A137" s="1"/>
      <c r="B137" s="64" t="s">
        <v>121</v>
      </c>
      <c r="C137" s="65">
        <v>100.0</v>
      </c>
      <c r="D137" s="65" t="s">
        <v>119</v>
      </c>
      <c r="E137" s="1"/>
      <c r="F137" s="1"/>
      <c r="G137" s="1"/>
      <c r="H137" s="1"/>
      <c r="I137" s="1"/>
    </row>
    <row r="138">
      <c r="A138" s="1"/>
      <c r="B138" s="64" t="s">
        <v>122</v>
      </c>
      <c r="C138" s="65">
        <v>100.0</v>
      </c>
      <c r="D138" s="65" t="s">
        <v>119</v>
      </c>
      <c r="E138" s="1"/>
      <c r="F138" s="1"/>
      <c r="G138" s="1"/>
      <c r="H138" s="1"/>
      <c r="I138" s="1"/>
    </row>
    <row r="139">
      <c r="A139" s="1"/>
      <c r="B139" s="64" t="s">
        <v>123</v>
      </c>
      <c r="C139" s="65">
        <v>100.0</v>
      </c>
      <c r="D139" s="65" t="s">
        <v>119</v>
      </c>
      <c r="E139" s="1"/>
      <c r="F139" s="1"/>
      <c r="G139" s="1"/>
      <c r="H139" s="1"/>
      <c r="I139" s="1"/>
    </row>
    <row r="140">
      <c r="A140" s="1"/>
      <c r="B140" s="14" t="s">
        <v>124</v>
      </c>
      <c r="C140" s="14">
        <v>100.0</v>
      </c>
      <c r="D140" s="66" t="s">
        <v>119</v>
      </c>
      <c r="E140" s="34"/>
      <c r="F140" s="34"/>
      <c r="G140" s="1"/>
      <c r="H140" s="1"/>
      <c r="I140" s="1"/>
      <c r="J140" s="1"/>
      <c r="K140" s="1"/>
      <c r="L140" s="1"/>
    </row>
    <row r="141">
      <c r="A141" s="1"/>
      <c r="B141" s="34"/>
      <c r="C141" s="52"/>
      <c r="D141" s="53"/>
      <c r="E141" s="34"/>
      <c r="F141" s="34"/>
      <c r="G141" s="1"/>
      <c r="H141" s="1"/>
      <c r="I141" s="1"/>
      <c r="J141" s="1"/>
      <c r="K141" s="1"/>
      <c r="L141" s="1"/>
    </row>
    <row r="142">
      <c r="A142" s="1"/>
      <c r="B142" s="58" t="s">
        <v>125</v>
      </c>
      <c r="H142" s="1"/>
      <c r="I142" s="1"/>
      <c r="J142" s="1"/>
      <c r="K142" s="1"/>
      <c r="L142" s="1"/>
    </row>
    <row r="143">
      <c r="A143" s="1"/>
      <c r="B143" s="7" t="s">
        <v>126</v>
      </c>
      <c r="H143" s="1"/>
      <c r="I143" s="1"/>
      <c r="J143" s="1"/>
      <c r="K143" s="1"/>
      <c r="L143" s="1"/>
    </row>
    <row r="144">
      <c r="A144" s="1"/>
      <c r="B144" s="34"/>
      <c r="C144" s="4" t="s">
        <v>127</v>
      </c>
      <c r="D144" s="4" t="s">
        <v>128</v>
      </c>
      <c r="E144" s="5" t="s">
        <v>129</v>
      </c>
      <c r="F144" s="34"/>
      <c r="G144" s="1"/>
      <c r="H144" s="1"/>
      <c r="I144" s="1"/>
      <c r="J144" s="1"/>
      <c r="K144" s="1"/>
      <c r="L144" s="1"/>
    </row>
    <row r="145">
      <c r="A145" s="1"/>
      <c r="B145" s="34"/>
      <c r="C145" s="6">
        <v>1.0</v>
      </c>
      <c r="D145" s="6">
        <v>5.0</v>
      </c>
      <c r="E145" s="6">
        <v>5.39</v>
      </c>
      <c r="F145" s="34"/>
      <c r="G145" s="1"/>
      <c r="H145" s="1"/>
      <c r="I145" s="1"/>
      <c r="J145" s="1"/>
      <c r="K145" s="1"/>
      <c r="L145" s="1"/>
    </row>
    <row r="146">
      <c r="A146" s="1"/>
      <c r="B146" s="34"/>
      <c r="C146" s="6">
        <v>2.0</v>
      </c>
      <c r="D146" s="6">
        <v>5.0</v>
      </c>
      <c r="E146" s="6">
        <v>5.31</v>
      </c>
      <c r="F146" s="34"/>
      <c r="G146" s="1"/>
      <c r="H146" s="1"/>
      <c r="I146" s="1"/>
      <c r="J146" s="1"/>
      <c r="K146" s="1"/>
      <c r="L146" s="1"/>
    </row>
    <row r="147">
      <c r="A147" s="1"/>
      <c r="B147" s="34"/>
      <c r="C147" s="6">
        <v>3.0</v>
      </c>
      <c r="D147" s="6">
        <v>5.0</v>
      </c>
      <c r="E147" s="6">
        <v>5.29</v>
      </c>
      <c r="F147" s="34"/>
      <c r="G147" s="1"/>
      <c r="H147" s="1"/>
      <c r="I147" s="1"/>
      <c r="J147" s="1"/>
      <c r="K147" s="1"/>
      <c r="L147" s="1"/>
    </row>
    <row r="148">
      <c r="A148" s="1"/>
      <c r="B148" s="34"/>
      <c r="C148" s="6">
        <v>4.0</v>
      </c>
      <c r="D148" s="6">
        <v>5.0</v>
      </c>
      <c r="E148" s="6">
        <v>5.32</v>
      </c>
      <c r="F148" s="34"/>
      <c r="G148" s="1"/>
      <c r="H148" s="1"/>
      <c r="I148" s="1"/>
      <c r="J148" s="1"/>
      <c r="K148" s="1"/>
      <c r="L148" s="1"/>
    </row>
    <row r="149">
      <c r="A149" s="1"/>
      <c r="B149" s="34"/>
      <c r="C149" s="6">
        <v>5.0</v>
      </c>
      <c r="D149" s="6">
        <v>5.0</v>
      </c>
      <c r="E149" s="6">
        <v>5.316</v>
      </c>
      <c r="F149" s="34"/>
      <c r="G149" s="1"/>
      <c r="H149" s="1"/>
      <c r="I149" s="1"/>
      <c r="J149" s="1"/>
      <c r="K149" s="1"/>
      <c r="L149" s="1"/>
    </row>
    <row r="150">
      <c r="A150" s="1"/>
      <c r="B150" s="34"/>
      <c r="C150" s="6">
        <v>6.0</v>
      </c>
      <c r="D150" s="6">
        <v>5.0</v>
      </c>
      <c r="E150" s="6">
        <v>5.286</v>
      </c>
      <c r="F150" s="34"/>
      <c r="G150" s="1"/>
      <c r="H150" s="1"/>
      <c r="I150" s="1"/>
      <c r="J150" s="1"/>
      <c r="K150" s="1"/>
      <c r="L150" s="1"/>
    </row>
    <row r="151">
      <c r="A151" s="1"/>
      <c r="B151" s="34"/>
      <c r="C151" s="6">
        <v>7.0</v>
      </c>
      <c r="D151" s="6">
        <v>5.0</v>
      </c>
      <c r="E151" s="6">
        <v>5.31</v>
      </c>
      <c r="F151" s="34"/>
      <c r="G151" s="1"/>
      <c r="H151" s="1"/>
      <c r="I151" s="1"/>
      <c r="J151" s="1"/>
      <c r="K151" s="1"/>
      <c r="L151" s="1"/>
    </row>
    <row r="152">
      <c r="A152" s="1"/>
      <c r="B152" s="34"/>
      <c r="C152" s="6">
        <v>8.0</v>
      </c>
      <c r="D152" s="6">
        <v>5.0</v>
      </c>
      <c r="E152" s="6">
        <v>5.3</v>
      </c>
      <c r="F152" s="34"/>
      <c r="G152" s="1"/>
      <c r="H152" s="1"/>
      <c r="I152" s="1"/>
      <c r="J152" s="1"/>
      <c r="K152" s="1"/>
      <c r="L152" s="1"/>
    </row>
    <row r="153">
      <c r="A153" s="1"/>
      <c r="B153" s="34"/>
      <c r="C153" s="6">
        <v>9.0</v>
      </c>
      <c r="D153" s="6">
        <v>5.0</v>
      </c>
      <c r="E153" s="6">
        <v>5.29</v>
      </c>
      <c r="F153" s="34"/>
      <c r="G153" s="1"/>
      <c r="H153" s="1"/>
      <c r="I153" s="1"/>
      <c r="J153" s="1"/>
      <c r="K153" s="1"/>
      <c r="L153" s="1"/>
    </row>
    <row r="154">
      <c r="A154" s="1"/>
      <c r="B154" s="34"/>
      <c r="C154" s="6">
        <v>10.0</v>
      </c>
      <c r="D154" s="6">
        <v>5.0</v>
      </c>
      <c r="E154" s="6">
        <v>5.286</v>
      </c>
      <c r="F154" s="34"/>
      <c r="G154" s="1"/>
      <c r="H154" s="1"/>
      <c r="I154" s="1"/>
      <c r="J154" s="1"/>
      <c r="K154" s="1"/>
      <c r="L154" s="1"/>
    </row>
    <row r="155">
      <c r="A155" s="1"/>
      <c r="B155" s="34"/>
      <c r="C155" s="6">
        <v>11.0</v>
      </c>
      <c r="D155" s="6">
        <v>5.0</v>
      </c>
      <c r="E155" s="6">
        <v>5.282</v>
      </c>
      <c r="F155" s="34"/>
      <c r="G155" s="1"/>
      <c r="H155" s="1"/>
      <c r="I155" s="1"/>
      <c r="J155" s="1"/>
      <c r="K155" s="1"/>
      <c r="L155" s="1"/>
    </row>
    <row r="156">
      <c r="A156" s="1"/>
      <c r="B156" s="34"/>
      <c r="C156" s="6">
        <v>12.0</v>
      </c>
      <c r="D156" s="6">
        <v>5.0</v>
      </c>
      <c r="E156" s="6">
        <v>5.28</v>
      </c>
      <c r="F156" s="34"/>
      <c r="G156" s="1"/>
      <c r="H156" s="1"/>
      <c r="I156" s="1"/>
      <c r="J156" s="1"/>
      <c r="K156" s="1"/>
      <c r="L156" s="1"/>
    </row>
    <row r="157">
      <c r="A157" s="1"/>
      <c r="B157" s="34"/>
      <c r="C157" s="6">
        <v>13.0</v>
      </c>
      <c r="D157" s="6">
        <v>5.0</v>
      </c>
      <c r="E157" s="6">
        <v>5.262</v>
      </c>
      <c r="F157" s="34"/>
      <c r="G157" s="1"/>
      <c r="H157" s="1"/>
      <c r="I157" s="1"/>
      <c r="J157" s="1"/>
      <c r="K157" s="1"/>
      <c r="L157" s="1"/>
    </row>
    <row r="158">
      <c r="A158" s="1"/>
      <c r="B158" s="34"/>
      <c r="C158" s="6">
        <v>14.0</v>
      </c>
      <c r="D158" s="6">
        <v>5.0</v>
      </c>
      <c r="E158" s="6">
        <v>5.26</v>
      </c>
      <c r="F158" s="34"/>
      <c r="G158" s="1"/>
      <c r="H158" s="1"/>
      <c r="I158" s="1"/>
      <c r="J158" s="1"/>
      <c r="K158" s="1"/>
      <c r="L158" s="1"/>
    </row>
    <row r="159">
      <c r="A159" s="1"/>
      <c r="B159" s="34"/>
      <c r="C159" s="52"/>
      <c r="D159" s="53"/>
      <c r="E159" s="34"/>
      <c r="F159" s="34"/>
      <c r="G159" s="1"/>
      <c r="H159" s="1"/>
      <c r="I159" s="1"/>
      <c r="J159" s="1"/>
      <c r="K159" s="1"/>
      <c r="L159" s="1"/>
    </row>
    <row r="160">
      <c r="A160" s="1"/>
      <c r="B160" s="67" t="s">
        <v>130</v>
      </c>
      <c r="J160" s="1"/>
      <c r="K160" s="1"/>
      <c r="L160" s="1"/>
    </row>
    <row r="161">
      <c r="A161" s="1"/>
      <c r="B161" s="67" t="s">
        <v>131</v>
      </c>
      <c r="J161" s="1"/>
      <c r="K161" s="1"/>
      <c r="L161" s="1"/>
    </row>
    <row r="162">
      <c r="A162" s="1"/>
      <c r="B162" s="4" t="s">
        <v>132</v>
      </c>
      <c r="C162" s="68" t="s">
        <v>133</v>
      </c>
      <c r="D162" s="8" t="s">
        <v>134</v>
      </c>
      <c r="E162" s="8" t="s">
        <v>135</v>
      </c>
      <c r="F162" s="8" t="s">
        <v>136</v>
      </c>
      <c r="G162" s="8" t="s">
        <v>137</v>
      </c>
      <c r="H162" s="8" t="s">
        <v>138</v>
      </c>
      <c r="I162" s="8" t="s">
        <v>139</v>
      </c>
      <c r="J162" s="1"/>
      <c r="K162" s="1"/>
      <c r="L162" s="1"/>
    </row>
    <row r="163">
      <c r="A163" s="1"/>
      <c r="B163" s="6">
        <v>1.0</v>
      </c>
      <c r="C163" s="32">
        <v>5.0</v>
      </c>
      <c r="D163" s="14">
        <v>5.2</v>
      </c>
      <c r="E163" s="14" t="s">
        <v>140</v>
      </c>
      <c r="F163" s="14" t="s">
        <v>141</v>
      </c>
      <c r="G163" s="14" t="s">
        <v>142</v>
      </c>
      <c r="H163" s="14" t="s">
        <v>143</v>
      </c>
      <c r="I163" s="14" t="s">
        <v>144</v>
      </c>
      <c r="J163" s="1"/>
      <c r="K163" s="1"/>
      <c r="L163" s="1"/>
    </row>
    <row r="164">
      <c r="A164" s="1"/>
      <c r="B164" s="6">
        <v>2.0</v>
      </c>
      <c r="C164" s="32">
        <v>5.0</v>
      </c>
      <c r="D164" s="14">
        <v>5.2</v>
      </c>
      <c r="E164" s="14" t="s">
        <v>145</v>
      </c>
      <c r="F164" s="14" t="s">
        <v>146</v>
      </c>
      <c r="G164" s="14" t="s">
        <v>147</v>
      </c>
      <c r="H164" s="14" t="s">
        <v>148</v>
      </c>
      <c r="I164" s="14" t="s">
        <v>149</v>
      </c>
      <c r="J164" s="1"/>
      <c r="K164" s="1"/>
      <c r="L164" s="1"/>
    </row>
    <row r="165">
      <c r="A165" s="1"/>
      <c r="B165" s="6">
        <v>3.0</v>
      </c>
      <c r="C165" s="32">
        <v>5.0</v>
      </c>
      <c r="D165" s="14">
        <v>5.18</v>
      </c>
      <c r="E165" s="14" t="s">
        <v>150</v>
      </c>
      <c r="F165" s="14" t="s">
        <v>151</v>
      </c>
      <c r="G165" s="14" t="s">
        <v>152</v>
      </c>
      <c r="H165" s="14" t="s">
        <v>153</v>
      </c>
      <c r="I165" s="14" t="s">
        <v>154</v>
      </c>
      <c r="J165" s="1"/>
      <c r="K165" s="1"/>
      <c r="L165" s="1"/>
    </row>
    <row r="166">
      <c r="A166" s="1"/>
      <c r="B166" s="6">
        <v>4.0</v>
      </c>
      <c r="C166" s="32">
        <v>5.0</v>
      </c>
      <c r="D166" s="14">
        <v>5.13</v>
      </c>
      <c r="E166" s="14" t="s">
        <v>155</v>
      </c>
      <c r="F166" s="14" t="s">
        <v>156</v>
      </c>
      <c r="G166" s="14" t="s">
        <v>140</v>
      </c>
      <c r="H166" s="14" t="s">
        <v>157</v>
      </c>
      <c r="I166" s="14" t="s">
        <v>158</v>
      </c>
      <c r="J166" s="1"/>
      <c r="K166" s="1"/>
      <c r="L166" s="1"/>
    </row>
    <row r="167">
      <c r="A167" s="1"/>
      <c r="B167" s="38">
        <v>5.0</v>
      </c>
      <c r="C167" s="69">
        <v>5.0</v>
      </c>
      <c r="D167" s="14">
        <v>5.18</v>
      </c>
      <c r="E167" s="14" t="s">
        <v>159</v>
      </c>
      <c r="F167" s="14" t="s">
        <v>160</v>
      </c>
      <c r="G167" s="14" t="s">
        <v>161</v>
      </c>
      <c r="H167" s="14" t="s">
        <v>162</v>
      </c>
      <c r="I167" s="14" t="s">
        <v>163</v>
      </c>
      <c r="J167" s="1"/>
      <c r="K167" s="1"/>
      <c r="L167" s="1"/>
    </row>
    <row r="168">
      <c r="A168" s="1"/>
      <c r="B168" s="14">
        <v>6.0</v>
      </c>
      <c r="C168" s="14">
        <v>5.0</v>
      </c>
      <c r="D168" s="14">
        <v>5.17</v>
      </c>
      <c r="E168" s="14" t="s">
        <v>164</v>
      </c>
      <c r="F168" s="14" t="s">
        <v>165</v>
      </c>
      <c r="G168" s="14" t="s">
        <v>166</v>
      </c>
      <c r="H168" s="14" t="s">
        <v>167</v>
      </c>
      <c r="I168" s="14" t="s">
        <v>148</v>
      </c>
      <c r="J168" s="1"/>
      <c r="K168" s="1"/>
      <c r="L168" s="1"/>
    </row>
    <row r="169">
      <c r="A169" s="1"/>
      <c r="B169" s="14">
        <v>7.0</v>
      </c>
      <c r="C169" s="14">
        <v>5.0</v>
      </c>
      <c r="D169" s="14">
        <v>5.254</v>
      </c>
      <c r="E169" s="14" t="s">
        <v>168</v>
      </c>
      <c r="F169" s="14" t="s">
        <v>169</v>
      </c>
      <c r="G169" s="14" t="s">
        <v>170</v>
      </c>
      <c r="H169" s="14" t="s">
        <v>171</v>
      </c>
      <c r="I169" s="14" t="s">
        <v>172</v>
      </c>
      <c r="J169" s="1"/>
      <c r="K169" s="1"/>
      <c r="L169" s="1"/>
    </row>
    <row r="170">
      <c r="A170" s="1"/>
      <c r="B170" s="67" t="s">
        <v>173</v>
      </c>
      <c r="J170" s="1"/>
      <c r="K170" s="1"/>
      <c r="L170" s="1"/>
    </row>
    <row r="171">
      <c r="A171" s="1"/>
      <c r="B171" s="4" t="s">
        <v>132</v>
      </c>
      <c r="C171" s="68" t="s">
        <v>133</v>
      </c>
      <c r="D171" s="8" t="s">
        <v>134</v>
      </c>
      <c r="E171" s="8" t="s">
        <v>135</v>
      </c>
      <c r="F171" s="8" t="s">
        <v>136</v>
      </c>
      <c r="G171" s="8" t="s">
        <v>137</v>
      </c>
      <c r="H171" s="8" t="s">
        <v>138</v>
      </c>
      <c r="I171" s="8" t="s">
        <v>139</v>
      </c>
      <c r="J171" s="1"/>
      <c r="K171" s="1"/>
      <c r="L171" s="1"/>
    </row>
    <row r="172">
      <c r="A172" s="1"/>
      <c r="B172" s="6">
        <v>1.0</v>
      </c>
      <c r="C172" s="32">
        <v>5.0</v>
      </c>
      <c r="D172" s="14">
        <v>5.23</v>
      </c>
      <c r="E172" s="14" t="s">
        <v>174</v>
      </c>
      <c r="F172" s="14" t="s">
        <v>175</v>
      </c>
      <c r="G172" s="14" t="s">
        <v>176</v>
      </c>
      <c r="H172" s="14" t="s">
        <v>177</v>
      </c>
      <c r="I172" s="14" t="s">
        <v>178</v>
      </c>
      <c r="J172" s="1"/>
      <c r="K172" s="1"/>
      <c r="L172" s="1"/>
    </row>
    <row r="173">
      <c r="A173" s="1"/>
      <c r="B173" s="6">
        <v>2.0</v>
      </c>
      <c r="C173" s="32">
        <v>5.0</v>
      </c>
      <c r="D173" s="14">
        <v>5.2</v>
      </c>
      <c r="E173" s="14" t="s">
        <v>179</v>
      </c>
      <c r="F173" s="14" t="s">
        <v>160</v>
      </c>
      <c r="G173" s="14" t="s">
        <v>180</v>
      </c>
      <c r="H173" s="14" t="s">
        <v>181</v>
      </c>
      <c r="I173" s="14" t="s">
        <v>181</v>
      </c>
      <c r="J173" s="1"/>
      <c r="K173" s="1"/>
      <c r="L173" s="1"/>
    </row>
    <row r="174">
      <c r="A174" s="1"/>
      <c r="B174" s="6">
        <v>3.0</v>
      </c>
      <c r="C174" s="32">
        <v>5.0</v>
      </c>
      <c r="D174" s="14">
        <v>5.12</v>
      </c>
      <c r="E174" s="14" t="s">
        <v>182</v>
      </c>
      <c r="F174" s="14" t="s">
        <v>183</v>
      </c>
      <c r="G174" s="14" t="s">
        <v>184</v>
      </c>
      <c r="H174" s="14" t="s">
        <v>185</v>
      </c>
      <c r="I174" s="14" t="s">
        <v>186</v>
      </c>
      <c r="J174" s="1"/>
      <c r="K174" s="1"/>
      <c r="L174" s="1"/>
    </row>
    <row r="175">
      <c r="A175" s="1"/>
      <c r="B175" s="6">
        <v>4.0</v>
      </c>
      <c r="C175" s="32">
        <v>5.0</v>
      </c>
      <c r="D175" s="14">
        <v>5.06</v>
      </c>
      <c r="E175" s="14" t="s">
        <v>187</v>
      </c>
      <c r="F175" s="14" t="s">
        <v>188</v>
      </c>
      <c r="G175" s="14" t="s">
        <v>189</v>
      </c>
      <c r="H175" s="14" t="s">
        <v>190</v>
      </c>
      <c r="I175" s="14" t="s">
        <v>191</v>
      </c>
      <c r="J175" s="1"/>
      <c r="K175" s="1"/>
      <c r="L175" s="1"/>
    </row>
    <row r="176">
      <c r="A176" s="1"/>
      <c r="B176" s="38">
        <v>5.0</v>
      </c>
      <c r="C176" s="69">
        <v>5.0</v>
      </c>
      <c r="D176" s="14">
        <v>5.16</v>
      </c>
      <c r="E176" s="14" t="s">
        <v>192</v>
      </c>
      <c r="F176" s="14" t="s">
        <v>193</v>
      </c>
      <c r="G176" s="14" t="s">
        <v>194</v>
      </c>
      <c r="H176" s="14" t="s">
        <v>195</v>
      </c>
      <c r="I176" s="14" t="s">
        <v>196</v>
      </c>
      <c r="J176" s="1"/>
      <c r="K176" s="1"/>
      <c r="L176" s="1"/>
    </row>
    <row r="177">
      <c r="A177" s="1"/>
      <c r="B177" s="14">
        <v>6.0</v>
      </c>
      <c r="C177" s="14">
        <v>5.0</v>
      </c>
      <c r="D177" s="14">
        <v>5.17</v>
      </c>
      <c r="E177" s="14" t="s">
        <v>197</v>
      </c>
      <c r="F177" s="14" t="s">
        <v>198</v>
      </c>
      <c r="G177" s="14" t="s">
        <v>181</v>
      </c>
      <c r="H177" s="14" t="s">
        <v>161</v>
      </c>
      <c r="I177" s="14" t="s">
        <v>199</v>
      </c>
      <c r="J177" s="1"/>
      <c r="K177" s="1"/>
      <c r="L177" s="1"/>
    </row>
    <row r="178">
      <c r="A178" s="1"/>
      <c r="B178" s="14">
        <v>7.0</v>
      </c>
      <c r="C178" s="14">
        <v>5.0</v>
      </c>
      <c r="D178" s="14">
        <v>5.16</v>
      </c>
      <c r="E178" s="14" t="s">
        <v>186</v>
      </c>
      <c r="F178" s="14" t="s">
        <v>200</v>
      </c>
      <c r="G178" s="14" t="s">
        <v>201</v>
      </c>
      <c r="H178" s="14" t="s">
        <v>202</v>
      </c>
      <c r="I178" s="14" t="s">
        <v>160</v>
      </c>
      <c r="J178" s="1"/>
      <c r="K178" s="1"/>
      <c r="L178" s="1"/>
    </row>
    <row r="179">
      <c r="A179" s="1"/>
      <c r="B179" s="67" t="s">
        <v>203</v>
      </c>
      <c r="J179" s="1"/>
      <c r="K179" s="1"/>
      <c r="L179" s="1"/>
    </row>
    <row r="180">
      <c r="A180" s="1"/>
      <c r="B180" s="4" t="s">
        <v>132</v>
      </c>
      <c r="C180" s="68" t="s">
        <v>133</v>
      </c>
      <c r="D180" s="8" t="s">
        <v>134</v>
      </c>
      <c r="E180" s="8" t="s">
        <v>135</v>
      </c>
      <c r="F180" s="8" t="s">
        <v>136</v>
      </c>
      <c r="G180" s="8" t="s">
        <v>137</v>
      </c>
      <c r="H180" s="8" t="s">
        <v>138</v>
      </c>
      <c r="I180" s="8" t="s">
        <v>139</v>
      </c>
      <c r="J180" s="1"/>
      <c r="K180" s="1"/>
      <c r="L180" s="1"/>
    </row>
    <row r="181">
      <c r="A181" s="1"/>
      <c r="B181" s="6">
        <v>1.0</v>
      </c>
      <c r="C181" s="32">
        <v>5.0</v>
      </c>
      <c r="D181" s="14">
        <v>5.19</v>
      </c>
      <c r="E181" s="14" t="s">
        <v>204</v>
      </c>
      <c r="F181" s="14" t="s">
        <v>205</v>
      </c>
      <c r="G181" s="14" t="s">
        <v>161</v>
      </c>
      <c r="H181" s="14" t="s">
        <v>206</v>
      </c>
      <c r="I181" s="14" t="s">
        <v>207</v>
      </c>
      <c r="J181" s="1"/>
      <c r="K181" s="1"/>
      <c r="L181" s="1"/>
    </row>
    <row r="182">
      <c r="A182" s="1"/>
      <c r="B182" s="6">
        <v>2.0</v>
      </c>
      <c r="C182" s="32">
        <v>5.0</v>
      </c>
      <c r="D182" s="14">
        <v>5.174</v>
      </c>
      <c r="E182" s="14" t="s">
        <v>208</v>
      </c>
      <c r="F182" s="14" t="s">
        <v>209</v>
      </c>
      <c r="G182" s="14" t="s">
        <v>174</v>
      </c>
      <c r="H182" s="14" t="s">
        <v>160</v>
      </c>
      <c r="I182" s="14" t="s">
        <v>146</v>
      </c>
      <c r="J182" s="1"/>
      <c r="K182" s="1"/>
      <c r="L182" s="1"/>
    </row>
    <row r="183">
      <c r="A183" s="1"/>
      <c r="B183" s="6">
        <v>3.0</v>
      </c>
      <c r="C183" s="32">
        <v>5.0</v>
      </c>
      <c r="D183" s="14">
        <v>5.26</v>
      </c>
      <c r="E183" s="14" t="s">
        <v>181</v>
      </c>
      <c r="F183" s="14" t="s">
        <v>210</v>
      </c>
      <c r="G183" s="14" t="s">
        <v>211</v>
      </c>
      <c r="H183" s="14" t="s">
        <v>212</v>
      </c>
      <c r="I183" s="14" t="s">
        <v>213</v>
      </c>
      <c r="J183" s="1"/>
      <c r="K183" s="1"/>
      <c r="L183" s="1"/>
    </row>
    <row r="184">
      <c r="A184" s="1"/>
      <c r="B184" s="6">
        <v>4.0</v>
      </c>
      <c r="C184" s="32">
        <v>5.0</v>
      </c>
      <c r="D184" s="14">
        <v>5.17</v>
      </c>
      <c r="E184" s="14" t="s">
        <v>151</v>
      </c>
      <c r="F184" s="14" t="s">
        <v>214</v>
      </c>
      <c r="G184" s="14" t="s">
        <v>215</v>
      </c>
      <c r="H184" s="14" t="s">
        <v>216</v>
      </c>
      <c r="I184" s="14" t="s">
        <v>217</v>
      </c>
      <c r="J184" s="1"/>
      <c r="K184" s="1"/>
      <c r="L184" s="1"/>
    </row>
    <row r="185">
      <c r="A185" s="1"/>
      <c r="B185" s="38">
        <v>5.0</v>
      </c>
      <c r="C185" s="69">
        <v>5.0</v>
      </c>
      <c r="D185" s="14">
        <v>5.16</v>
      </c>
      <c r="E185" s="14" t="s">
        <v>218</v>
      </c>
      <c r="F185" s="14" t="s">
        <v>219</v>
      </c>
      <c r="G185" s="14" t="s">
        <v>220</v>
      </c>
      <c r="H185" s="14" t="s">
        <v>221</v>
      </c>
      <c r="I185" s="14" t="s">
        <v>222</v>
      </c>
      <c r="J185" s="1"/>
      <c r="K185" s="1"/>
      <c r="L185" s="1"/>
    </row>
    <row r="186">
      <c r="A186" s="1"/>
      <c r="B186" s="14">
        <v>6.0</v>
      </c>
      <c r="C186" s="14">
        <v>5.0</v>
      </c>
      <c r="D186" s="14">
        <v>5.17</v>
      </c>
      <c r="E186" s="14" t="s">
        <v>223</v>
      </c>
      <c r="F186" s="14" t="s">
        <v>153</v>
      </c>
      <c r="G186" s="14" t="s">
        <v>180</v>
      </c>
      <c r="H186" s="14" t="s">
        <v>224</v>
      </c>
      <c r="I186" s="14" t="s">
        <v>225</v>
      </c>
      <c r="J186" s="1"/>
      <c r="K186" s="1"/>
      <c r="L186" s="1"/>
    </row>
    <row r="187">
      <c r="A187" s="1"/>
      <c r="B187" s="14">
        <v>7.0</v>
      </c>
      <c r="C187" s="14">
        <v>5.0</v>
      </c>
      <c r="D187" s="14">
        <v>5.166</v>
      </c>
      <c r="E187" s="14" t="s">
        <v>226</v>
      </c>
      <c r="F187" s="14" t="s">
        <v>227</v>
      </c>
      <c r="G187" s="14" t="s">
        <v>228</v>
      </c>
      <c r="H187" s="14" t="s">
        <v>229</v>
      </c>
      <c r="I187" s="14" t="s">
        <v>230</v>
      </c>
      <c r="J187" s="1"/>
      <c r="K187" s="1"/>
      <c r="L187" s="1"/>
    </row>
    <row r="188">
      <c r="A188" s="1"/>
      <c r="B188" s="34"/>
      <c r="C188" s="52"/>
      <c r="D188" s="53"/>
      <c r="E188" s="34"/>
      <c r="F188" s="34"/>
      <c r="G188" s="1"/>
      <c r="H188" s="1"/>
      <c r="I188" s="1"/>
      <c r="J188" s="1"/>
      <c r="K188" s="1"/>
      <c r="L188" s="1"/>
    </row>
    <row r="189">
      <c r="A189" s="1"/>
      <c r="B189" s="34"/>
      <c r="C189" s="52"/>
      <c r="D189" s="53"/>
      <c r="E189" s="34"/>
      <c r="F189" s="34"/>
      <c r="G189" s="1"/>
      <c r="H189" s="1"/>
      <c r="I189" s="1"/>
      <c r="J189" s="1"/>
      <c r="K189" s="1"/>
      <c r="L189" s="1"/>
    </row>
    <row r="190">
      <c r="A190" s="1"/>
      <c r="B190" s="34"/>
      <c r="C190" s="52"/>
      <c r="D190" s="53"/>
      <c r="E190" s="34"/>
      <c r="F190" s="34"/>
      <c r="G190" s="1"/>
      <c r="H190" s="1"/>
      <c r="I190" s="1"/>
      <c r="J190" s="1"/>
      <c r="K190" s="1"/>
      <c r="L190" s="1"/>
    </row>
    <row r="191">
      <c r="A191" s="1"/>
      <c r="B191" s="34"/>
      <c r="C191" s="52"/>
      <c r="D191" s="53"/>
      <c r="E191" s="34"/>
      <c r="F191" s="34"/>
      <c r="G191" s="1"/>
      <c r="H191" s="1"/>
      <c r="I191" s="1"/>
      <c r="J191" s="1"/>
      <c r="K191" s="1"/>
      <c r="L191" s="1"/>
    </row>
    <row r="192">
      <c r="A192" s="1"/>
      <c r="B192" s="34"/>
      <c r="C192" s="52"/>
      <c r="D192" s="53"/>
      <c r="E192" s="34"/>
      <c r="F192" s="34"/>
      <c r="G192" s="1"/>
      <c r="H192" s="1"/>
      <c r="I192" s="1"/>
      <c r="J192" s="1"/>
      <c r="K192" s="1"/>
      <c r="L192" s="1"/>
    </row>
    <row r="193">
      <c r="A193" s="1"/>
      <c r="B193" s="34"/>
      <c r="C193" s="52"/>
      <c r="D193" s="53"/>
      <c r="E193" s="34"/>
      <c r="F193" s="34"/>
      <c r="G193" s="1"/>
      <c r="H193" s="1"/>
      <c r="I193" s="1"/>
      <c r="J193" s="1"/>
      <c r="K193" s="1"/>
      <c r="L193" s="1"/>
    </row>
    <row r="194">
      <c r="A194" s="1"/>
      <c r="B194" s="34"/>
      <c r="C194" s="52"/>
      <c r="D194" s="53"/>
      <c r="E194" s="34"/>
      <c r="F194" s="34"/>
      <c r="G194" s="1"/>
      <c r="H194" s="1"/>
      <c r="I194" s="1"/>
      <c r="J194" s="1"/>
      <c r="K194" s="1"/>
      <c r="L194" s="1"/>
    </row>
    <row r="195">
      <c r="A195" s="1"/>
      <c r="B195" s="34"/>
      <c r="C195" s="52"/>
      <c r="D195" s="53"/>
      <c r="E195" s="34"/>
      <c r="F195" s="34"/>
      <c r="G195" s="1"/>
      <c r="H195" s="1"/>
      <c r="I195" s="1"/>
      <c r="J195" s="1"/>
      <c r="K195" s="1"/>
      <c r="L195" s="1"/>
    </row>
    <row r="196">
      <c r="A196" s="1"/>
      <c r="B196" s="34"/>
      <c r="C196" s="52"/>
      <c r="D196" s="53"/>
      <c r="E196" s="34"/>
      <c r="F196" s="34"/>
      <c r="G196" s="1"/>
      <c r="H196" s="1"/>
      <c r="I196" s="1"/>
      <c r="J196" s="1"/>
      <c r="K196" s="1"/>
      <c r="L196" s="1"/>
    </row>
    <row r="197">
      <c r="A197" s="1"/>
      <c r="B197" s="34"/>
      <c r="C197" s="52"/>
      <c r="D197" s="53"/>
      <c r="E197" s="34"/>
      <c r="F197" s="34"/>
      <c r="G197" s="1"/>
      <c r="H197" s="1"/>
      <c r="I197" s="1"/>
      <c r="J197" s="1"/>
      <c r="K197" s="1"/>
      <c r="L197" s="1"/>
    </row>
    <row r="198">
      <c r="A198" s="1"/>
      <c r="B198" s="34"/>
      <c r="C198" s="52"/>
      <c r="D198" s="53"/>
      <c r="E198" s="34"/>
      <c r="F198" s="34"/>
      <c r="G198" s="1"/>
      <c r="H198" s="1"/>
      <c r="I198" s="1"/>
      <c r="J198" s="1"/>
      <c r="K198" s="1"/>
      <c r="L198" s="1"/>
    </row>
    <row r="199">
      <c r="A199" s="1"/>
      <c r="B199" s="34"/>
      <c r="C199" s="52"/>
      <c r="D199" s="53"/>
      <c r="E199" s="34"/>
      <c r="F199" s="34"/>
      <c r="G199" s="1"/>
      <c r="H199" s="1"/>
      <c r="I199" s="1"/>
      <c r="J199" s="1"/>
      <c r="K199" s="1"/>
      <c r="L199" s="1"/>
    </row>
    <row r="200">
      <c r="A200" s="1"/>
      <c r="B200" s="34"/>
      <c r="C200" s="52"/>
      <c r="D200" s="53"/>
      <c r="E200" s="34"/>
      <c r="F200" s="34"/>
      <c r="G200" s="1"/>
      <c r="H200" s="1"/>
      <c r="I200" s="1"/>
      <c r="J200" s="1"/>
      <c r="K200" s="1"/>
      <c r="L200" s="1"/>
    </row>
    <row r="201">
      <c r="A201" s="1"/>
      <c r="B201" s="34"/>
      <c r="C201" s="52"/>
      <c r="D201" s="53"/>
      <c r="E201" s="34"/>
      <c r="F201" s="34"/>
      <c r="G201" s="1"/>
      <c r="H201" s="1"/>
      <c r="I201" s="1"/>
      <c r="J201" s="1"/>
      <c r="K201" s="1"/>
      <c r="L201" s="1"/>
    </row>
    <row r="202">
      <c r="A202" s="1"/>
      <c r="B202" s="34"/>
      <c r="C202" s="52"/>
      <c r="D202" s="53"/>
      <c r="E202" s="34"/>
      <c r="F202" s="34"/>
      <c r="G202" s="1"/>
      <c r="H202" s="1"/>
      <c r="I202" s="1"/>
      <c r="J202" s="1"/>
      <c r="K202" s="1"/>
      <c r="L202" s="1"/>
    </row>
    <row r="203">
      <c r="A203" s="1"/>
      <c r="B203" s="34"/>
      <c r="C203" s="52"/>
      <c r="D203" s="53"/>
      <c r="E203" s="34"/>
      <c r="F203" s="34"/>
      <c r="G203" s="1"/>
      <c r="H203" s="1"/>
      <c r="I203" s="1"/>
      <c r="J203" s="1"/>
      <c r="K203" s="1"/>
      <c r="L203" s="1"/>
    </row>
    <row r="204">
      <c r="A204" s="1"/>
      <c r="B204" s="34"/>
      <c r="C204" s="52"/>
      <c r="D204" s="53"/>
      <c r="E204" s="34"/>
      <c r="F204" s="34"/>
      <c r="G204" s="1"/>
      <c r="H204" s="1"/>
      <c r="I204" s="1"/>
      <c r="J204" s="1"/>
      <c r="K204" s="1"/>
      <c r="L204" s="1"/>
    </row>
    <row r="205">
      <c r="A205" s="1"/>
      <c r="B205" s="34"/>
      <c r="C205" s="52"/>
      <c r="D205" s="53"/>
      <c r="E205" s="34"/>
      <c r="F205" s="34"/>
      <c r="G205" s="1"/>
      <c r="H205" s="1"/>
      <c r="I205" s="1"/>
      <c r="J205" s="1"/>
      <c r="K205" s="1"/>
      <c r="L205" s="1"/>
    </row>
    <row r="206">
      <c r="A206" s="1"/>
      <c r="B206" s="34"/>
      <c r="C206" s="52"/>
      <c r="D206" s="53"/>
      <c r="E206" s="34"/>
      <c r="F206" s="34"/>
      <c r="G206" s="1"/>
      <c r="H206" s="1"/>
      <c r="I206" s="1"/>
      <c r="J206" s="1"/>
      <c r="K206" s="1"/>
      <c r="L206" s="1"/>
    </row>
    <row r="207">
      <c r="A207" s="1"/>
      <c r="B207" s="34"/>
      <c r="C207" s="52"/>
      <c r="D207" s="53"/>
      <c r="E207" s="34"/>
      <c r="F207" s="34"/>
      <c r="G207" s="1"/>
      <c r="H207" s="1"/>
      <c r="I207" s="1"/>
      <c r="J207" s="1"/>
      <c r="K207" s="1"/>
      <c r="L207" s="1"/>
    </row>
    <row r="208">
      <c r="A208" s="1"/>
      <c r="B208" s="34"/>
      <c r="C208" s="52"/>
      <c r="D208" s="53"/>
      <c r="E208" s="34"/>
      <c r="F208" s="34"/>
      <c r="G208" s="1"/>
      <c r="H208" s="1"/>
      <c r="I208" s="1"/>
      <c r="J208" s="1"/>
      <c r="K208" s="1"/>
      <c r="L208" s="1"/>
    </row>
    <row r="209">
      <c r="A209" s="1"/>
      <c r="B209" s="34"/>
      <c r="C209" s="52"/>
      <c r="D209" s="53"/>
      <c r="E209" s="34"/>
      <c r="F209" s="34"/>
      <c r="G209" s="1"/>
      <c r="H209" s="1"/>
      <c r="I209" s="1"/>
      <c r="J209" s="1"/>
      <c r="K209" s="1"/>
      <c r="L209" s="1"/>
    </row>
    <row r="210">
      <c r="A210" s="1"/>
      <c r="B210" s="34"/>
      <c r="C210" s="52"/>
      <c r="D210" s="53"/>
      <c r="E210" s="34"/>
      <c r="F210" s="34"/>
      <c r="G210" s="1"/>
      <c r="H210" s="1"/>
      <c r="I210" s="1"/>
      <c r="J210" s="1"/>
      <c r="K210" s="1"/>
      <c r="L210" s="1"/>
    </row>
    <row r="211">
      <c r="A211" s="1"/>
      <c r="B211" s="34"/>
      <c r="C211" s="52"/>
      <c r="D211" s="53"/>
      <c r="E211" s="34"/>
      <c r="F211" s="34"/>
      <c r="G211" s="1"/>
      <c r="H211" s="1"/>
      <c r="I211" s="1"/>
      <c r="J211" s="1"/>
      <c r="K211" s="1"/>
      <c r="L211" s="1"/>
    </row>
    <row r="212">
      <c r="A212" s="1"/>
      <c r="B212" s="34"/>
      <c r="C212" s="52"/>
      <c r="D212" s="53"/>
      <c r="E212" s="34"/>
      <c r="F212" s="34"/>
      <c r="G212" s="1"/>
      <c r="H212" s="1"/>
      <c r="I212" s="1"/>
      <c r="J212" s="1"/>
      <c r="K212" s="1"/>
      <c r="L212" s="1"/>
    </row>
    <row r="213">
      <c r="A213" s="1"/>
      <c r="B213" s="34"/>
      <c r="C213" s="52"/>
      <c r="D213" s="53"/>
      <c r="E213" s="34"/>
      <c r="F213" s="34"/>
      <c r="G213" s="1"/>
      <c r="H213" s="1"/>
      <c r="I213" s="1"/>
      <c r="J213" s="1"/>
      <c r="K213" s="1"/>
      <c r="L213" s="1"/>
    </row>
    <row r="214">
      <c r="A214" s="1"/>
      <c r="B214" s="34"/>
      <c r="C214" s="52"/>
      <c r="D214" s="53"/>
      <c r="E214" s="34"/>
      <c r="F214" s="34"/>
      <c r="G214" s="1"/>
      <c r="H214" s="1"/>
      <c r="I214" s="1"/>
      <c r="J214" s="1"/>
      <c r="K214" s="1"/>
      <c r="L214" s="1"/>
    </row>
    <row r="215">
      <c r="A215" s="1"/>
      <c r="B215" s="34"/>
      <c r="C215" s="52"/>
      <c r="D215" s="53"/>
      <c r="E215" s="34"/>
      <c r="F215" s="34"/>
      <c r="G215" s="1"/>
      <c r="H215" s="1"/>
      <c r="I215" s="1"/>
      <c r="J215" s="1"/>
      <c r="K215" s="1"/>
      <c r="L215" s="1"/>
    </row>
    <row r="216">
      <c r="A216" s="1"/>
      <c r="B216" s="34"/>
      <c r="C216" s="52"/>
      <c r="D216" s="53"/>
      <c r="E216" s="34"/>
      <c r="F216" s="34"/>
      <c r="G216" s="1"/>
      <c r="H216" s="1"/>
      <c r="I216" s="1"/>
      <c r="J216" s="1"/>
      <c r="K216" s="1"/>
      <c r="L216" s="1"/>
    </row>
    <row r="217">
      <c r="A217" s="1"/>
      <c r="B217" s="34"/>
      <c r="C217" s="52"/>
      <c r="D217" s="53"/>
      <c r="E217" s="34"/>
      <c r="F217" s="34"/>
      <c r="G217" s="1"/>
      <c r="H217" s="1"/>
      <c r="I217" s="1"/>
      <c r="J217" s="1"/>
      <c r="K217" s="1"/>
      <c r="L217" s="1"/>
    </row>
    <row r="218">
      <c r="A218" s="1"/>
      <c r="B218" s="34"/>
      <c r="C218" s="52"/>
      <c r="D218" s="53"/>
      <c r="E218" s="34"/>
      <c r="F218" s="34"/>
      <c r="G218" s="1"/>
      <c r="H218" s="1"/>
      <c r="I218" s="1"/>
      <c r="J218" s="1"/>
      <c r="K218" s="1"/>
      <c r="L218" s="1"/>
    </row>
    <row r="219">
      <c r="A219" s="1"/>
      <c r="B219" s="34"/>
      <c r="C219" s="52"/>
      <c r="D219" s="53"/>
      <c r="E219" s="34"/>
      <c r="F219" s="34"/>
      <c r="G219" s="1"/>
      <c r="H219" s="1"/>
      <c r="I219" s="1"/>
      <c r="J219" s="1"/>
      <c r="K219" s="1"/>
      <c r="L219" s="1"/>
    </row>
    <row r="220">
      <c r="A220" s="1"/>
      <c r="B220" s="34"/>
      <c r="C220" s="52"/>
      <c r="D220" s="53"/>
      <c r="E220" s="34"/>
      <c r="F220" s="34"/>
      <c r="G220" s="1"/>
      <c r="H220" s="1"/>
      <c r="I220" s="1"/>
      <c r="J220" s="1"/>
      <c r="K220" s="1"/>
      <c r="L220" s="1"/>
    </row>
    <row r="221">
      <c r="A221" s="1"/>
      <c r="B221" s="34"/>
      <c r="C221" s="52"/>
      <c r="D221" s="53"/>
      <c r="E221" s="34"/>
      <c r="F221" s="34"/>
      <c r="G221" s="1"/>
      <c r="H221" s="1"/>
      <c r="I221" s="1"/>
      <c r="J221" s="1"/>
      <c r="K221" s="1"/>
      <c r="L221" s="1"/>
    </row>
    <row r="222">
      <c r="A222" s="1"/>
      <c r="B222" s="34"/>
      <c r="C222" s="52"/>
      <c r="D222" s="53"/>
      <c r="E222" s="34"/>
      <c r="F222" s="34"/>
      <c r="G222" s="1"/>
      <c r="H222" s="1"/>
      <c r="I222" s="1"/>
      <c r="J222" s="1"/>
      <c r="K222" s="1"/>
      <c r="L222" s="1"/>
    </row>
    <row r="223">
      <c r="A223" s="1"/>
      <c r="B223" s="34"/>
      <c r="C223" s="52"/>
      <c r="D223" s="53"/>
      <c r="E223" s="34"/>
      <c r="F223" s="34"/>
      <c r="G223" s="1"/>
      <c r="H223" s="1"/>
      <c r="I223" s="1"/>
      <c r="J223" s="1"/>
      <c r="K223" s="1"/>
      <c r="L223" s="1"/>
    </row>
    <row r="224">
      <c r="A224" s="1"/>
      <c r="B224" s="34"/>
      <c r="C224" s="52"/>
      <c r="D224" s="53"/>
      <c r="E224" s="34"/>
      <c r="F224" s="34"/>
      <c r="G224" s="1"/>
      <c r="H224" s="1"/>
      <c r="I224" s="1"/>
      <c r="J224" s="1"/>
      <c r="K224" s="1"/>
      <c r="L224" s="1"/>
    </row>
    <row r="225">
      <c r="A225" s="1"/>
      <c r="B225" s="34"/>
      <c r="C225" s="52"/>
      <c r="D225" s="53"/>
      <c r="E225" s="34"/>
      <c r="F225" s="34"/>
      <c r="G225" s="1"/>
      <c r="H225" s="1"/>
      <c r="I225" s="1"/>
      <c r="J225" s="1"/>
      <c r="K225" s="1"/>
      <c r="L225" s="1"/>
    </row>
  </sheetData>
  <mergeCells count="21">
    <mergeCell ref="B1:H1"/>
    <mergeCell ref="B3:H3"/>
    <mergeCell ref="B9:E9"/>
    <mergeCell ref="B10:F10"/>
    <mergeCell ref="H10:L10"/>
    <mergeCell ref="B24:F24"/>
    <mergeCell ref="H24:L24"/>
    <mergeCell ref="B132:G132"/>
    <mergeCell ref="B142:G142"/>
    <mergeCell ref="B143:G143"/>
    <mergeCell ref="B160:I160"/>
    <mergeCell ref="B161:I161"/>
    <mergeCell ref="B170:I170"/>
    <mergeCell ref="B179:I179"/>
    <mergeCell ref="B50:E50"/>
    <mergeCell ref="B57:G57"/>
    <mergeCell ref="B72:G72"/>
    <mergeCell ref="B80:G80"/>
    <mergeCell ref="C81:D81"/>
    <mergeCell ref="E93:F93"/>
    <mergeCell ref="B100:H100"/>
  </mergeCells>
  <drawing r:id="rId1"/>
</worksheet>
</file>